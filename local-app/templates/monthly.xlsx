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mc:AlternateContent xmlns:mc="http://schemas.openxmlformats.org/markup-compatibility/2006">
    <mc:Choice Requires="x15">
      <x15ac:absPath xmlns:x15ac="http://schemas.microsoft.com/office/spreadsheetml/2010/11/ac" url="/Users/shohei/Downloads/"/>
    </mc:Choice>
  </mc:AlternateContent>
  <xr:revisionPtr revIDLastSave="0" documentId="13_ncr:1_{8F679439-9714-3748-8E10-9EFC426D7B4F}" xr6:coauthVersionLast="47" xr6:coauthVersionMax="47" xr10:uidLastSave="{00000000-0000-0000-0000-000000000000}"/>
  <bookViews>
    <workbookView xWindow="0" yWindow="600" windowWidth="28800" windowHeight="17400" tabRatio="880" firstSheet="1" activeTab="1" xr2:uid="{00000000-000D-0000-FFFF-FFFF00000000}"/>
  </bookViews>
  <sheets>
    <sheet name="（重要案件）記録票　" sheetId="4" r:id="rId1"/>
    <sheet name="記載例 " sheetId="15" r:id="rId2"/>
    <sheet name="４月" sheetId="8" r:id="rId3"/>
    <sheet name="５月" sheetId="16" r:id="rId4"/>
    <sheet name="６月" sheetId="17" r:id="rId5"/>
    <sheet name="７月" sheetId="18" r:id="rId6"/>
    <sheet name="８月" sheetId="19" r:id="rId7"/>
    <sheet name="９月" sheetId="20" r:id="rId8"/>
    <sheet name="10月" sheetId="21" r:id="rId9"/>
    <sheet name="11月" sheetId="22" r:id="rId10"/>
    <sheet name="12月" sheetId="23" r:id="rId11"/>
    <sheet name="１月" sheetId="24" r:id="rId12"/>
    <sheet name="２月" sheetId="25" r:id="rId13"/>
    <sheet name="３月" sheetId="26" r:id="rId14"/>
    <sheet name="問合せ方法" sheetId="14" r:id="rId15"/>
    <sheet name="月別件数、回数" sheetId="13" r:id="rId16"/>
  </sheets>
  <definedNames>
    <definedName name="_xlnm._FilterDatabase" localSheetId="8" hidden="1">'10月'!$A$6:$O$25</definedName>
    <definedName name="_xlnm._FilterDatabase" localSheetId="9" hidden="1">'11月'!$A$6:$O$25</definedName>
    <definedName name="_xlnm._FilterDatabase" localSheetId="10" hidden="1">'12月'!$A$6:$O$25</definedName>
    <definedName name="_xlnm._FilterDatabase" localSheetId="11" hidden="1">'１月'!$A$6:$O$25</definedName>
    <definedName name="_xlnm._FilterDatabase" localSheetId="12" hidden="1">'２月'!$A$6:$O$25</definedName>
    <definedName name="_xlnm._FilterDatabase" localSheetId="13" hidden="1">'３月'!$A$6:$O$25</definedName>
    <definedName name="_xlnm._FilterDatabase" localSheetId="2" hidden="1">'４月'!$A$6:$O$24</definedName>
    <definedName name="_xlnm._FilterDatabase" localSheetId="3" hidden="1">'５月'!$A$6:$O$21</definedName>
    <definedName name="_xlnm._FilterDatabase" localSheetId="4" hidden="1">'６月'!$A$6:$O$22</definedName>
    <definedName name="_xlnm._FilterDatabase" localSheetId="5" hidden="1">'７月'!$A$6:$O$25</definedName>
    <definedName name="_xlnm._FilterDatabase" localSheetId="6" hidden="1">'８月'!$A$6:$O$25</definedName>
    <definedName name="_xlnm._FilterDatabase" localSheetId="7" hidden="1">'９月'!$A$6:$O$25</definedName>
    <definedName name="_xlnm._FilterDatabase" localSheetId="1" hidden="1">'記載例 '!$A$6:$O$25</definedName>
    <definedName name="_xlnm.Print_Area" localSheetId="8">'10月'!$A$1:$O$42</definedName>
    <definedName name="_xlnm.Print_Area" localSheetId="9">'11月'!$A$1:$O$42</definedName>
    <definedName name="_xlnm.Print_Area" localSheetId="10">'12月'!$A$1:$O$42</definedName>
    <definedName name="_xlnm.Print_Area" localSheetId="11">'１月'!$A$1:$O$42</definedName>
    <definedName name="_xlnm.Print_Area" localSheetId="12">'２月'!$A$1:$O$42</definedName>
    <definedName name="_xlnm.Print_Area" localSheetId="13">'３月'!$A$1:$O$42</definedName>
    <definedName name="_xlnm.Print_Area" localSheetId="2">'４月'!$A$1:$O$48</definedName>
    <definedName name="_xlnm.Print_Area" localSheetId="3">'５月'!$A$1:$O$38</definedName>
    <definedName name="_xlnm.Print_Area" localSheetId="4">'６月'!$A$1:$O$39</definedName>
    <definedName name="_xlnm.Print_Area" localSheetId="5">'７月'!$A$1:$O$42</definedName>
    <definedName name="_xlnm.Print_Area" localSheetId="6">'８月'!$A$1:$O$42</definedName>
    <definedName name="_xlnm.Print_Area" localSheetId="7">'９月'!$A$1:$O$42</definedName>
    <definedName name="_xlnm.Print_Area" localSheetId="1">'記載例 '!$A$1:$O$42</definedName>
    <definedName name="_xlnm.Print_Area" localSheetId="15">'月別件数、回数'!$A$2:$N$21</definedName>
    <definedName name="_xlnm.Print_Area" localSheetId="14">問合せ方法!$A$1:$I$26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0E93783A-EC64-4428-9392-52CE10DD8C90}">
      <text>
        <r>
          <rPr>
            <sz val="12"/>
            <color indexed="81"/>
            <rFont val="MS P ゴシック"/>
            <family val="3"/>
            <charset val="128"/>
          </rPr>
          <t>電話、メール、来所、現場、FAX、Web、その他　の中から記入する。</t>
        </r>
      </text>
    </comment>
    <comment ref="G6" authorId="0" shapeId="0" xr:uid="{1AB92EA3-97BC-4041-8590-B6D36F5EADA2}">
      <text>
        <r>
          <rPr>
            <sz val="12"/>
            <color indexed="81"/>
            <rFont val="MS P ゴシック"/>
            <family val="3"/>
            <charset val="128"/>
          </rPr>
          <t>・県外は都道府県名から記載
・県内は市町村名から記載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1080EC88-68D6-45B6-8BC2-06A1636D6363}">
      <text>
        <r>
          <rPr>
            <sz val="12"/>
            <color rgb="FF000000"/>
            <rFont val="ＭＳ Ｐゴシック"/>
            <family val="2"/>
            <charset val="128"/>
            <scheme val="minor"/>
          </rPr>
          <t>電話、メール、来所、現場、</t>
        </r>
        <r>
          <rPr>
            <sz val="12"/>
            <color rgb="FF000000"/>
            <rFont val="MS P ゴシック"/>
          </rPr>
          <t>FAX</t>
        </r>
        <r>
          <rPr>
            <sz val="12"/>
            <color rgb="FF000000"/>
            <rFont val="ＭＳ Ｐゴシック"/>
            <family val="2"/>
            <charset val="128"/>
            <scheme val="minor"/>
          </rPr>
          <t>、</t>
        </r>
        <r>
          <rPr>
            <sz val="12"/>
            <color rgb="FF000000"/>
            <rFont val="MS P ゴシック"/>
          </rPr>
          <t>Web</t>
        </r>
        <r>
          <rPr>
            <sz val="12"/>
            <color rgb="FF000000"/>
            <rFont val="ＭＳ Ｐゴシック"/>
            <family val="2"/>
            <charset val="128"/>
            <scheme val="minor"/>
          </rPr>
          <t>、その他　の中から記入する。</t>
        </r>
      </text>
    </comment>
    <comment ref="G6" authorId="0" shapeId="0" xr:uid="{96910805-DC3A-4A83-84B0-7020C2B436A7}">
      <text>
        <r>
          <rPr>
            <sz val="12"/>
            <color rgb="FF000000"/>
            <rFont val="ＭＳ Ｐゴシック"/>
            <family val="2"/>
            <charset val="128"/>
            <scheme val="minor"/>
          </rPr>
          <t>・県外は都道府県名から記載</t>
        </r>
        <r>
          <rPr>
            <sz val="12"/>
            <color rgb="FF000000"/>
            <rFont val="MS P ゴシック"/>
          </rPr>
          <t xml:space="preserve">
</t>
        </r>
        <r>
          <rPr>
            <sz val="12"/>
            <color rgb="FF000000"/>
            <rFont val="ＭＳ Ｐゴシック"/>
            <family val="2"/>
            <charset val="128"/>
            <scheme val="minor"/>
          </rPr>
          <t>・県内は市町村名から記載</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1772FD2D-278A-4F6A-A278-2D0AAD70B0AF}">
      <text>
        <r>
          <rPr>
            <sz val="12"/>
            <color rgb="FF000000"/>
            <rFont val="ＭＳ Ｐゴシック"/>
            <family val="2"/>
            <charset val="128"/>
            <scheme val="minor"/>
          </rPr>
          <t>電話、メール、来所、現場、</t>
        </r>
        <r>
          <rPr>
            <sz val="12"/>
            <color rgb="FF000000"/>
            <rFont val="MS P ゴシック"/>
          </rPr>
          <t>FAX</t>
        </r>
        <r>
          <rPr>
            <sz val="12"/>
            <color rgb="FF000000"/>
            <rFont val="ＭＳ Ｐゴシック"/>
            <family val="2"/>
            <charset val="128"/>
            <scheme val="minor"/>
          </rPr>
          <t>、</t>
        </r>
        <r>
          <rPr>
            <sz val="12"/>
            <color rgb="FF000000"/>
            <rFont val="MS P ゴシック"/>
          </rPr>
          <t>Web</t>
        </r>
        <r>
          <rPr>
            <sz val="12"/>
            <color rgb="FF000000"/>
            <rFont val="ＭＳ Ｐゴシック"/>
            <family val="2"/>
            <charset val="128"/>
            <scheme val="minor"/>
          </rPr>
          <t>、その他　の中から記入する。</t>
        </r>
      </text>
    </comment>
    <comment ref="G6" authorId="0" shapeId="0" xr:uid="{26A73D12-CD4A-45D8-9BF1-837DAD8824F6}">
      <text>
        <r>
          <rPr>
            <sz val="12"/>
            <color rgb="FF000000"/>
            <rFont val="ＭＳ Ｐゴシック"/>
            <family val="2"/>
            <charset val="128"/>
            <scheme val="minor"/>
          </rPr>
          <t>・県外は都道府県名から記載</t>
        </r>
        <r>
          <rPr>
            <sz val="12"/>
            <color rgb="FF000000"/>
            <rFont val="MS P ゴシック"/>
          </rPr>
          <t xml:space="preserve">
</t>
        </r>
        <r>
          <rPr>
            <sz val="12"/>
            <color rgb="FF000000"/>
            <rFont val="ＭＳ Ｐゴシック"/>
            <family val="2"/>
            <charset val="128"/>
            <scheme val="minor"/>
          </rPr>
          <t>・県内は市町村名から記載</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7B4F9B77-2CFE-44BF-A9BD-91B136839769}">
      <text>
        <r>
          <rPr>
            <sz val="12"/>
            <color rgb="FF000000"/>
            <rFont val="ＭＳ Ｐゴシック"/>
            <family val="2"/>
            <charset val="128"/>
            <scheme val="minor"/>
          </rPr>
          <t>電話、メール、来所、現場、</t>
        </r>
        <r>
          <rPr>
            <sz val="12"/>
            <color rgb="FF000000"/>
            <rFont val="MS P ゴシック"/>
          </rPr>
          <t>FAX</t>
        </r>
        <r>
          <rPr>
            <sz val="12"/>
            <color rgb="FF000000"/>
            <rFont val="ＭＳ Ｐゴシック"/>
            <family val="2"/>
            <charset val="128"/>
            <scheme val="minor"/>
          </rPr>
          <t>、</t>
        </r>
        <r>
          <rPr>
            <sz val="12"/>
            <color rgb="FF000000"/>
            <rFont val="MS P ゴシック"/>
          </rPr>
          <t>Web</t>
        </r>
        <r>
          <rPr>
            <sz val="12"/>
            <color rgb="FF000000"/>
            <rFont val="ＭＳ Ｐゴシック"/>
            <family val="2"/>
            <charset val="128"/>
            <scheme val="minor"/>
          </rPr>
          <t>、その他　の中から記入する。</t>
        </r>
      </text>
    </comment>
    <comment ref="G6" authorId="0" shapeId="0" xr:uid="{4F77F8D3-07C0-446B-96FD-663A6C7A9F97}">
      <text>
        <r>
          <rPr>
            <sz val="12"/>
            <color rgb="FF000000"/>
            <rFont val="ＭＳ Ｐゴシック"/>
            <family val="2"/>
            <charset val="128"/>
            <scheme val="minor"/>
          </rPr>
          <t>・県外は都道府県名から記載</t>
        </r>
        <r>
          <rPr>
            <sz val="12"/>
            <color rgb="FF000000"/>
            <rFont val="MS P ゴシック"/>
          </rPr>
          <t xml:space="preserve">
</t>
        </r>
        <r>
          <rPr>
            <sz val="12"/>
            <color rgb="FF000000"/>
            <rFont val="ＭＳ Ｐゴシック"/>
            <family val="2"/>
            <charset val="128"/>
            <scheme val="minor"/>
          </rPr>
          <t>・県内は市町村名から記載</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829CD3E1-B32D-4C69-B3A2-5D29FE53CEF6}">
      <text>
        <r>
          <rPr>
            <sz val="12"/>
            <color rgb="FF000000"/>
            <rFont val="ＭＳ Ｐゴシック"/>
            <family val="2"/>
            <charset val="128"/>
            <scheme val="minor"/>
          </rPr>
          <t>電話、メール、来所、現場、</t>
        </r>
        <r>
          <rPr>
            <sz val="12"/>
            <color rgb="FF000000"/>
            <rFont val="MS P ゴシック"/>
          </rPr>
          <t>FAX</t>
        </r>
        <r>
          <rPr>
            <sz val="12"/>
            <color rgb="FF000000"/>
            <rFont val="ＭＳ Ｐゴシック"/>
            <family val="2"/>
            <charset val="128"/>
            <scheme val="minor"/>
          </rPr>
          <t>、</t>
        </r>
        <r>
          <rPr>
            <sz val="12"/>
            <color rgb="FF000000"/>
            <rFont val="MS P ゴシック"/>
          </rPr>
          <t>Web</t>
        </r>
        <r>
          <rPr>
            <sz val="12"/>
            <color rgb="FF000000"/>
            <rFont val="ＭＳ Ｐゴシック"/>
            <family val="2"/>
            <charset val="128"/>
            <scheme val="minor"/>
          </rPr>
          <t>、その他　の中から記入する。</t>
        </r>
      </text>
    </comment>
    <comment ref="G6" authorId="0" shapeId="0" xr:uid="{E0ADF579-18D8-49FC-8263-BAE2BFFC94E0}">
      <text>
        <r>
          <rPr>
            <sz val="12"/>
            <color rgb="FF000000"/>
            <rFont val="ＭＳ Ｐゴシック"/>
            <family val="2"/>
            <charset val="128"/>
            <scheme val="minor"/>
          </rPr>
          <t>・県外は都道府県名から記載</t>
        </r>
        <r>
          <rPr>
            <sz val="12"/>
            <color rgb="FF000000"/>
            <rFont val="MS P ゴシック"/>
          </rPr>
          <t xml:space="preserve">
</t>
        </r>
        <r>
          <rPr>
            <sz val="12"/>
            <color rgb="FF000000"/>
            <rFont val="ＭＳ Ｐゴシック"/>
            <family val="2"/>
            <charset val="128"/>
            <scheme val="minor"/>
          </rPr>
          <t>・県内は市町村名から記載</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6516C952-3E57-4F57-9BAD-AE180DCA65F1}">
      <text>
        <r>
          <rPr>
            <sz val="12"/>
            <color rgb="FF000000"/>
            <rFont val="ＭＳ Ｐゴシック"/>
            <family val="2"/>
            <charset val="128"/>
            <scheme val="minor"/>
          </rPr>
          <t>電話、メール、来所、現場、</t>
        </r>
        <r>
          <rPr>
            <sz val="12"/>
            <color rgb="FF000000"/>
            <rFont val="MS P ゴシック"/>
          </rPr>
          <t>FAX</t>
        </r>
        <r>
          <rPr>
            <sz val="12"/>
            <color rgb="FF000000"/>
            <rFont val="ＭＳ Ｐゴシック"/>
            <family val="2"/>
            <charset val="128"/>
            <scheme val="minor"/>
          </rPr>
          <t>、</t>
        </r>
        <r>
          <rPr>
            <sz val="12"/>
            <color rgb="FF000000"/>
            <rFont val="MS P ゴシック"/>
          </rPr>
          <t>Web</t>
        </r>
        <r>
          <rPr>
            <sz val="12"/>
            <color rgb="FF000000"/>
            <rFont val="ＭＳ Ｐゴシック"/>
            <family val="2"/>
            <charset val="128"/>
            <scheme val="minor"/>
          </rPr>
          <t>、その他　の中から記入する。</t>
        </r>
      </text>
    </comment>
    <comment ref="G6" authorId="0" shapeId="0" xr:uid="{C5BCC502-6F5A-4FD2-B6D5-9A51EC07F4CF}">
      <text>
        <r>
          <rPr>
            <sz val="12"/>
            <color rgb="FF000000"/>
            <rFont val="ＭＳ Ｐゴシック"/>
            <family val="2"/>
            <charset val="128"/>
            <scheme val="minor"/>
          </rPr>
          <t>・県外は都道府県名から記載</t>
        </r>
        <r>
          <rPr>
            <sz val="12"/>
            <color rgb="FF000000"/>
            <rFont val="MS P ゴシック"/>
          </rPr>
          <t xml:space="preserve">
</t>
        </r>
        <r>
          <rPr>
            <sz val="12"/>
            <color rgb="FF000000"/>
            <rFont val="ＭＳ Ｐゴシック"/>
            <family val="2"/>
            <charset val="128"/>
            <scheme val="minor"/>
          </rPr>
          <t>・県内は市町村名から記載</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253AAF20-2BF8-42E3-8E81-B4FCDE4F8959}">
      <text>
        <r>
          <rPr>
            <sz val="12"/>
            <color indexed="81"/>
            <rFont val="MS P ゴシック"/>
            <family val="3"/>
            <charset val="128"/>
          </rPr>
          <t>電話、メール、来所、現場、FAX、Web、その他　の中から記入する。</t>
        </r>
      </text>
    </comment>
    <comment ref="G6" authorId="0" shapeId="0" xr:uid="{E9654BC5-A112-4924-A49D-1A06FC3EC4BA}">
      <text>
        <r>
          <rPr>
            <sz val="12"/>
            <color indexed="81"/>
            <rFont val="MS P ゴシック"/>
            <family val="3"/>
            <charset val="128"/>
          </rPr>
          <t>・県外は都道府県名から記載
・県内は市町村名から記載</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F0451918-3F33-46A1-A777-692862C217E6}">
      <text>
        <r>
          <rPr>
            <sz val="12"/>
            <color rgb="FF000000"/>
            <rFont val="ＭＳ Ｐゴシック"/>
            <family val="2"/>
            <charset val="128"/>
            <scheme val="minor"/>
          </rPr>
          <t>電話、メール、来所、現場、</t>
        </r>
        <r>
          <rPr>
            <sz val="12"/>
            <color rgb="FF000000"/>
            <rFont val="MS P ゴシック"/>
          </rPr>
          <t>FAX</t>
        </r>
        <r>
          <rPr>
            <sz val="12"/>
            <color rgb="FF000000"/>
            <rFont val="ＭＳ Ｐゴシック"/>
            <family val="2"/>
            <charset val="128"/>
            <scheme val="minor"/>
          </rPr>
          <t>、</t>
        </r>
        <r>
          <rPr>
            <sz val="12"/>
            <color rgb="FF000000"/>
            <rFont val="MS P ゴシック"/>
          </rPr>
          <t>Web</t>
        </r>
        <r>
          <rPr>
            <sz val="12"/>
            <color rgb="FF000000"/>
            <rFont val="ＭＳ Ｐゴシック"/>
            <family val="2"/>
            <charset val="128"/>
            <scheme val="minor"/>
          </rPr>
          <t>、その他　の中から記入する。</t>
        </r>
      </text>
    </comment>
    <comment ref="G6" authorId="0" shapeId="0" xr:uid="{7AF36857-5DC9-411B-8FCF-B0BAC90B4471}">
      <text>
        <r>
          <rPr>
            <sz val="12"/>
            <color rgb="FF000000"/>
            <rFont val="ＭＳ Ｐゴシック"/>
            <family val="2"/>
            <charset val="128"/>
            <scheme val="minor"/>
          </rPr>
          <t>・県外は都道府県名から記載</t>
        </r>
        <r>
          <rPr>
            <sz val="12"/>
            <color rgb="FF000000"/>
            <rFont val="MS P ゴシック"/>
          </rPr>
          <t xml:space="preserve">
</t>
        </r>
        <r>
          <rPr>
            <sz val="12"/>
            <color rgb="FF000000"/>
            <rFont val="ＭＳ Ｐゴシック"/>
            <family val="2"/>
            <charset val="128"/>
            <scheme val="minor"/>
          </rPr>
          <t>・県内は市町村名から記載</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221B34A8-397B-4120-A949-CFCF5E908CD9}">
      <text>
        <r>
          <rPr>
            <sz val="12"/>
            <color rgb="FF000000"/>
            <rFont val="MS P ゴシック"/>
          </rPr>
          <t>電話、メール、来所、現場、</t>
        </r>
        <r>
          <rPr>
            <sz val="12"/>
            <color rgb="FF000000"/>
            <rFont val="MS P ゴシック"/>
          </rPr>
          <t>FAX</t>
        </r>
        <r>
          <rPr>
            <sz val="12"/>
            <color rgb="FF000000"/>
            <rFont val="MS P ゴシック"/>
          </rPr>
          <t>、</t>
        </r>
        <r>
          <rPr>
            <sz val="12"/>
            <color rgb="FF000000"/>
            <rFont val="MS P ゴシック"/>
          </rPr>
          <t>Web</t>
        </r>
        <r>
          <rPr>
            <sz val="12"/>
            <color rgb="FF000000"/>
            <rFont val="MS P ゴシック"/>
          </rPr>
          <t>、その他　の中から記入する。</t>
        </r>
      </text>
    </comment>
    <comment ref="G6" authorId="0" shapeId="0" xr:uid="{B5AC3F6E-9BFF-4DD2-8A99-7FE75ADC2E3F}">
      <text>
        <r>
          <rPr>
            <sz val="12"/>
            <color rgb="FF000000"/>
            <rFont val="MS P ゴシック"/>
          </rPr>
          <t>・県外は都道府県名から記載</t>
        </r>
        <r>
          <rPr>
            <sz val="12"/>
            <color rgb="FF000000"/>
            <rFont val="MS P ゴシック"/>
          </rPr>
          <t xml:space="preserve">
</t>
        </r>
        <r>
          <rPr>
            <sz val="12"/>
            <color rgb="FF000000"/>
            <rFont val="MS P ゴシック"/>
          </rPr>
          <t>・県内は市町村名から記載</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157A885D-48E7-4480-A941-26443F3B5E0D}">
      <text>
        <r>
          <rPr>
            <sz val="12"/>
            <color indexed="81"/>
            <rFont val="MS P ゴシック"/>
            <family val="3"/>
            <charset val="128"/>
          </rPr>
          <t>電話、メール、来所、現場、FAX、Web、その他　の中から記入する。</t>
        </r>
      </text>
    </comment>
    <comment ref="G6" authorId="0" shapeId="0" xr:uid="{81EB540E-1E0B-4BF7-823B-D765D5670591}">
      <text>
        <r>
          <rPr>
            <sz val="12"/>
            <color indexed="81"/>
            <rFont val="MS P ゴシック"/>
            <family val="3"/>
            <charset val="128"/>
          </rPr>
          <t>・県外は都道府県名から記載
・県内は市町村名から記載</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299B5B41-CE11-4926-9B7A-A6CD14BF3119}">
      <text>
        <r>
          <rPr>
            <sz val="12"/>
            <color indexed="81"/>
            <rFont val="MS P ゴシック"/>
            <family val="3"/>
            <charset val="128"/>
          </rPr>
          <t>電話、メール、来所、現場、FAX、Web、その他　の中から記入する。</t>
        </r>
      </text>
    </comment>
    <comment ref="G6" authorId="0" shapeId="0" xr:uid="{0B286139-32E9-4F6C-AC0F-37CF0DC21535}">
      <text>
        <r>
          <rPr>
            <sz val="12"/>
            <color indexed="81"/>
            <rFont val="MS P ゴシック"/>
            <family val="3"/>
            <charset val="128"/>
          </rPr>
          <t>・県外は都道府県名から記載
・県内は市町村名から記載</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A5DC2557-57D8-470B-89E6-787A9B39FD04}">
      <text>
        <r>
          <rPr>
            <sz val="12"/>
            <color indexed="81"/>
            <rFont val="MS P ゴシック"/>
            <family val="3"/>
            <charset val="128"/>
          </rPr>
          <t>電話、メール、来所、現場、FAX、Web、その他　の中から記入する。</t>
        </r>
      </text>
    </comment>
    <comment ref="G6" authorId="0" shapeId="0" xr:uid="{1FCA165B-EF5A-46B6-8079-600A0A268BC8}">
      <text>
        <r>
          <rPr>
            <sz val="12"/>
            <color indexed="81"/>
            <rFont val="MS P ゴシック"/>
            <family val="3"/>
            <charset val="128"/>
          </rPr>
          <t>・県外は都道府県名から記載
・県内は市町村名から記載</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AITCCKZ075</author>
  </authors>
  <commentList>
    <comment ref="E6" authorId="0" shapeId="0" xr:uid="{76CE7957-35E8-4D31-A19D-9ACC0CAB3946}">
      <text>
        <r>
          <rPr>
            <sz val="12"/>
            <color indexed="81"/>
            <rFont val="MS P ゴシック"/>
            <family val="3"/>
            <charset val="128"/>
          </rPr>
          <t>電話、メール、来所、現場、FAX、Web、その他　の中から記入する。</t>
        </r>
      </text>
    </comment>
    <comment ref="G6" authorId="0" shapeId="0" xr:uid="{59A1670D-4579-40B2-88C4-063FB734C182}">
      <text>
        <r>
          <rPr>
            <sz val="12"/>
            <color indexed="81"/>
            <rFont val="MS P ゴシック"/>
            <family val="3"/>
            <charset val="128"/>
          </rPr>
          <t>・県外は都道府県名から記載
・県内は市町村名から記載</t>
        </r>
      </text>
    </comment>
  </commentList>
</comment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ge\.m\.d;@"/>
  </numFmts>
  <fonts count="30">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20"/>
      <color indexed="8"/>
      <name val="ＭＳ Ｐゴシック"/>
      <family val="3"/>
      <charset val="128"/>
    </font>
    <font>
      <sz val="12"/>
      <color indexed="8"/>
      <name val="ＭＳ Ｐゴシック"/>
      <family val="3"/>
      <charset val="128"/>
    </font>
    <font>
      <sz val="6"/>
      <name val="ＭＳ Ｐゴシック"/>
      <family val="3"/>
      <charset val="128"/>
    </font>
    <font>
      <sz val="11"/>
      <name val="ＭＳ Ｐゴシック"/>
      <family val="3"/>
      <charset val="128"/>
    </font>
    <font>
      <sz val="11"/>
      <name val="ＭＳ Ｐゴシック"/>
      <family val="3"/>
      <charset val="128"/>
      <scheme val="minor"/>
    </font>
    <font>
      <sz val="12"/>
      <name val="ＭＳ Ｐゴシック"/>
      <family val="3"/>
      <charset val="128"/>
    </font>
    <font>
      <sz val="16"/>
      <name val="ＭＳ Ｐゴシック"/>
      <family val="3"/>
      <charset val="128"/>
    </font>
    <font>
      <b/>
      <sz val="11"/>
      <color theme="1"/>
      <name val="ＭＳ Ｐゴシック"/>
      <family val="2"/>
      <charset val="128"/>
      <scheme val="minor"/>
    </font>
    <font>
      <sz val="12"/>
      <color indexed="81"/>
      <name val="MS P ゴシック"/>
      <family val="3"/>
      <charset val="128"/>
    </font>
    <font>
      <sz val="6"/>
      <name val="ＭＳ Ｐゴシック"/>
      <family val="3"/>
      <charset val="128"/>
      <scheme val="minor"/>
    </font>
    <font>
      <sz val="11"/>
      <color theme="1"/>
      <name val="ＭＳ Ｐゴシック"/>
      <family val="3"/>
      <charset val="128"/>
      <scheme val="minor"/>
    </font>
    <font>
      <sz val="11"/>
      <color rgb="FFFF0000"/>
      <name val="ＭＳ Ｐゴシック"/>
      <family val="3"/>
      <charset val="128"/>
      <scheme val="minor"/>
    </font>
    <font>
      <b/>
      <sz val="11"/>
      <name val="ＭＳ Ｐゴシック"/>
      <family val="3"/>
      <charset val="128"/>
      <scheme val="minor"/>
    </font>
    <font>
      <b/>
      <sz val="11"/>
      <color indexed="9"/>
      <name val="ＭＳ Ｐゴシック"/>
      <family val="3"/>
      <charset val="128"/>
      <scheme val="minor"/>
    </font>
    <font>
      <sz val="12"/>
      <color theme="1"/>
      <name val="ＭＳ Ｐゴシック"/>
      <family val="3"/>
      <charset val="128"/>
      <scheme val="minor"/>
    </font>
    <font>
      <sz val="12"/>
      <name val="ＭＳ Ｐゴシック"/>
      <family val="3"/>
      <charset val="128"/>
      <scheme val="minor"/>
    </font>
    <font>
      <sz val="6"/>
      <name val="ＭＳ Ｐゴシック"/>
      <family val="2"/>
      <charset val="128"/>
      <scheme val="minor"/>
    </font>
    <font>
      <b/>
      <sz val="12"/>
      <name val="ＭＳ Ｐゴシック"/>
      <family val="3"/>
      <charset val="128"/>
      <scheme val="minor"/>
    </font>
    <font>
      <sz val="11"/>
      <color indexed="8"/>
      <name val="ＭＳ Ｐゴシック"/>
      <family val="3"/>
      <charset val="128"/>
    </font>
    <font>
      <sz val="12"/>
      <color theme="0"/>
      <name val="ＭＳ Ｐゴシック"/>
      <family val="3"/>
      <charset val="128"/>
      <scheme val="minor"/>
    </font>
    <font>
      <sz val="12"/>
      <color indexed="8"/>
      <name val="ＭＳ Ｐゴシック"/>
      <family val="3"/>
      <charset val="128"/>
      <scheme val="minor"/>
    </font>
    <font>
      <sz val="16"/>
      <name val="ＭＳ Ｐゴシック"/>
      <family val="3"/>
      <charset val="128"/>
      <scheme val="minor"/>
    </font>
    <font>
      <b/>
      <sz val="16"/>
      <color rgb="FFFF0000"/>
      <name val="ＭＳ Ｐゴシック"/>
      <family val="3"/>
      <charset val="128"/>
      <scheme val="minor"/>
    </font>
    <font>
      <sz val="10"/>
      <name val="ＭＳ Ｐゴシック"/>
      <family val="3"/>
      <charset val="128"/>
    </font>
    <font>
      <sz val="12"/>
      <color rgb="FF000000"/>
      <name val="MS P ゴシック"/>
    </font>
    <font>
      <sz val="10"/>
      <color rgb="FF000000"/>
      <name val="ＭＳ Ｐゴシック"/>
      <family val="2"/>
      <charset val="128"/>
      <scheme val="minor"/>
    </font>
    <font>
      <sz val="12"/>
      <color rgb="FF000000"/>
      <name val="ＭＳ Ｐゴシック"/>
      <family val="2"/>
      <charset val="128"/>
      <scheme val="minor"/>
    </font>
  </fonts>
  <fills count="19">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CC0000"/>
        <bgColor indexed="64"/>
      </patternFill>
    </fill>
    <fill>
      <patternFill patternType="solid">
        <fgColor theme="7" tint="0.79998168889431442"/>
        <bgColor indexed="64"/>
      </patternFill>
    </fill>
    <fill>
      <patternFill patternType="solid">
        <fgColor rgb="FFFFFFCC"/>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C00000"/>
        <bgColor indexed="64"/>
      </patternFill>
    </fill>
    <fill>
      <patternFill patternType="solid">
        <fgColor rgb="FF66FFFF"/>
        <bgColor indexed="64"/>
      </patternFill>
    </fill>
  </fills>
  <borders count="2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dotted">
        <color indexed="64"/>
      </left>
      <right style="dotted">
        <color indexed="64"/>
      </right>
      <top style="dotted">
        <color indexed="64"/>
      </top>
      <bottom style="dotted">
        <color indexed="64"/>
      </bottom>
      <diagonal/>
    </border>
  </borders>
  <cellStyleXfs count="6">
    <xf numFmtId="0" fontId="0" fillId="0" borderId="0">
      <alignment vertical="center"/>
    </xf>
    <xf numFmtId="9" fontId="13" fillId="0" borderId="0" applyFont="0" applyFill="0" applyBorder="0" applyAlignment="0" applyProtection="0">
      <alignment vertical="center"/>
    </xf>
    <xf numFmtId="0" fontId="13" fillId="0" borderId="0">
      <alignment vertical="center"/>
    </xf>
    <xf numFmtId="38" fontId="21" fillId="0" borderId="0" applyFont="0" applyFill="0" applyBorder="0" applyAlignment="0" applyProtection="0">
      <alignment vertical="center"/>
    </xf>
    <xf numFmtId="0" fontId="1" fillId="0" borderId="0">
      <alignment vertical="center"/>
    </xf>
    <xf numFmtId="0" fontId="6" fillId="0" borderId="0"/>
  </cellStyleXfs>
  <cellXfs count="176">
    <xf numFmtId="0" fontId="0" fillId="0" borderId="0" xfId="0">
      <alignment vertical="center"/>
    </xf>
    <xf numFmtId="0" fontId="0" fillId="0" borderId="0" xfId="0" applyAlignment="1">
      <alignment horizontal="right" vertical="center"/>
    </xf>
    <xf numFmtId="0" fontId="0" fillId="0" borderId="2" xfId="0" applyBorder="1">
      <alignment vertical="center"/>
    </xf>
    <xf numFmtId="0" fontId="0" fillId="0" borderId="1"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4" fillId="0" borderId="0" xfId="0" applyFont="1" applyAlignment="1">
      <alignment horizontal="right" vertical="center"/>
    </xf>
    <xf numFmtId="0" fontId="7" fillId="0" borderId="10" xfId="0" applyFont="1" applyBorder="1" applyAlignment="1">
      <alignment horizontal="center" vertical="center" wrapText="1"/>
    </xf>
    <xf numFmtId="0" fontId="7" fillId="0" borderId="10" xfId="0" applyFont="1" applyBorder="1" applyAlignment="1">
      <alignment vertical="top" wrapText="1"/>
    </xf>
    <xf numFmtId="0" fontId="7" fillId="0" borderId="1" xfId="0" applyFont="1" applyBorder="1" applyAlignment="1"/>
    <xf numFmtId="0" fontId="7" fillId="0" borderId="2" xfId="0" applyFont="1" applyBorder="1">
      <alignment vertical="center"/>
    </xf>
    <xf numFmtId="0" fontId="7" fillId="0" borderId="0" xfId="0" applyFont="1">
      <alignment vertical="center"/>
    </xf>
    <xf numFmtId="0" fontId="7" fillId="0" borderId="10" xfId="0" applyFont="1" applyBorder="1" applyAlignment="1">
      <alignment horizontal="center" vertical="center"/>
    </xf>
    <xf numFmtId="0" fontId="7" fillId="0" borderId="10" xfId="0" applyFont="1" applyBorder="1" applyAlignment="1">
      <alignment vertical="center" wrapText="1"/>
    </xf>
    <xf numFmtId="0" fontId="7" fillId="0" borderId="0" xfId="0" applyFont="1" applyAlignment="1">
      <alignment horizontal="center" vertical="center"/>
    </xf>
    <xf numFmtId="0" fontId="8" fillId="0" borderId="0" xfId="0" applyFont="1" applyAlignment="1">
      <alignment horizontal="right" vertical="center"/>
    </xf>
    <xf numFmtId="0" fontId="9" fillId="0" borderId="0" xfId="0" applyFont="1">
      <alignment vertical="center"/>
    </xf>
    <xf numFmtId="0" fontId="7" fillId="0" borderId="1" xfId="0" applyFont="1" applyBorder="1" applyAlignment="1">
      <alignment horizontal="center" vertical="center"/>
    </xf>
    <xf numFmtId="0" fontId="7" fillId="0" borderId="1" xfId="0" applyFont="1" applyBorder="1">
      <alignment vertical="center"/>
    </xf>
    <xf numFmtId="0" fontId="7" fillId="0" borderId="0" xfId="0" applyFont="1" applyAlignment="1"/>
    <xf numFmtId="0" fontId="7" fillId="0" borderId="2"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xf>
    <xf numFmtId="0" fontId="7" fillId="0" borderId="10" xfId="0" applyFont="1" applyBorder="1" applyAlignment="1">
      <alignment horizontal="left" vertical="top" wrapText="1"/>
    </xf>
    <xf numFmtId="0" fontId="7" fillId="2" borderId="10" xfId="0" applyFont="1" applyFill="1" applyBorder="1" applyAlignment="1">
      <alignment horizontal="center" vertical="center"/>
    </xf>
    <xf numFmtId="0" fontId="7" fillId="0" borderId="14" xfId="0" applyFont="1" applyBorder="1" applyAlignment="1">
      <alignment horizontal="center" vertical="center"/>
    </xf>
    <xf numFmtId="0" fontId="7" fillId="0" borderId="8" xfId="0" applyFont="1" applyBorder="1" applyAlignment="1">
      <alignment horizontal="center" vertical="center"/>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7" fillId="0" borderId="11" xfId="0" applyFont="1" applyBorder="1" applyAlignment="1">
      <alignment horizontal="center" vertical="center"/>
    </xf>
    <xf numFmtId="0" fontId="7" fillId="3" borderId="10" xfId="0" applyFont="1" applyFill="1" applyBorder="1" applyAlignment="1">
      <alignment horizontal="center" vertical="center"/>
    </xf>
    <xf numFmtId="0" fontId="7" fillId="3" borderId="19" xfId="0" applyFont="1" applyFill="1" applyBorder="1">
      <alignment vertical="center"/>
    </xf>
    <xf numFmtId="0" fontId="7" fillId="3" borderId="21" xfId="0" applyFont="1" applyFill="1" applyBorder="1">
      <alignment vertical="center"/>
    </xf>
    <xf numFmtId="0" fontId="6" fillId="0" borderId="10" xfId="0" applyFont="1" applyBorder="1" applyAlignment="1">
      <alignment horizontal="center" vertical="center" wrapText="1"/>
    </xf>
    <xf numFmtId="176" fontId="7" fillId="0" borderId="10" xfId="0" applyNumberFormat="1" applyFont="1" applyBorder="1" applyAlignment="1">
      <alignment horizontal="center" vertical="center"/>
    </xf>
    <xf numFmtId="176" fontId="6" fillId="0" borderId="10" xfId="0" applyNumberFormat="1" applyFont="1" applyBorder="1" applyAlignment="1">
      <alignment horizontal="center" vertical="center" wrapText="1"/>
    </xf>
    <xf numFmtId="0" fontId="7" fillId="0" borderId="11" xfId="0" applyFont="1" applyBorder="1" applyAlignment="1">
      <alignment horizontal="center" vertical="center" wrapText="1"/>
    </xf>
    <xf numFmtId="0" fontId="7" fillId="0" borderId="7" xfId="0" applyFont="1" applyBorder="1" applyAlignment="1">
      <alignment horizontal="center" vertical="center"/>
    </xf>
    <xf numFmtId="0" fontId="7" fillId="0" borderId="5" xfId="0" applyFont="1" applyBorder="1" applyAlignment="1">
      <alignment horizontal="centerContinuous" vertical="justify"/>
    </xf>
    <xf numFmtId="0" fontId="7" fillId="0" borderId="3" xfId="0" applyFont="1" applyBorder="1" applyAlignment="1">
      <alignment horizontal="centerContinuous" vertical="center"/>
    </xf>
    <xf numFmtId="0" fontId="7" fillId="0" borderId="10" xfId="0" applyFont="1" applyBorder="1">
      <alignment vertical="center"/>
    </xf>
    <xf numFmtId="0" fontId="7" fillId="4" borderId="10" xfId="0" applyFont="1" applyFill="1" applyBorder="1" applyAlignment="1">
      <alignment horizontal="center" vertical="center"/>
    </xf>
    <xf numFmtId="0" fontId="7" fillId="5" borderId="10" xfId="0" applyFont="1" applyFill="1" applyBorder="1" applyAlignment="1">
      <alignment horizontal="center" vertical="center"/>
    </xf>
    <xf numFmtId="9" fontId="7" fillId="0" borderId="0" xfId="1" applyFont="1" applyFill="1">
      <alignment vertical="center"/>
    </xf>
    <xf numFmtId="0" fontId="14" fillId="0" borderId="0" xfId="0" applyFont="1">
      <alignment vertical="center"/>
    </xf>
    <xf numFmtId="0" fontId="7" fillId="2" borderId="10" xfId="0" applyFont="1" applyFill="1" applyBorder="1">
      <alignment vertical="center"/>
    </xf>
    <xf numFmtId="0" fontId="7" fillId="0" borderId="13" xfId="0" applyFont="1" applyBorder="1" applyAlignment="1">
      <alignment horizontal="center" vertical="center"/>
    </xf>
    <xf numFmtId="0" fontId="7" fillId="2" borderId="15" xfId="0" applyFont="1" applyFill="1" applyBorder="1" applyAlignment="1">
      <alignment horizontal="center" vertical="center"/>
    </xf>
    <xf numFmtId="0" fontId="7" fillId="2" borderId="15" xfId="0" applyFont="1" applyFill="1" applyBorder="1">
      <alignment vertical="center"/>
    </xf>
    <xf numFmtId="0" fontId="7" fillId="0" borderId="18" xfId="0" applyFont="1" applyBorder="1">
      <alignment vertical="center"/>
    </xf>
    <xf numFmtId="0" fontId="7" fillId="0" borderId="20" xfId="0" applyFont="1" applyBorder="1">
      <alignment vertical="center"/>
    </xf>
    <xf numFmtId="0" fontId="7" fillId="0" borderId="23" xfId="0" applyFont="1" applyBorder="1">
      <alignment vertical="center"/>
    </xf>
    <xf numFmtId="0" fontId="7" fillId="4" borderId="16" xfId="0" applyFont="1" applyFill="1" applyBorder="1">
      <alignment vertical="center"/>
    </xf>
    <xf numFmtId="0" fontId="7" fillId="4" borderId="19" xfId="0" applyFont="1" applyFill="1" applyBorder="1">
      <alignment vertical="center"/>
    </xf>
    <xf numFmtId="0" fontId="7" fillId="4" borderId="21" xfId="0" applyFont="1" applyFill="1" applyBorder="1">
      <alignment vertical="center"/>
    </xf>
    <xf numFmtId="0" fontId="7" fillId="5" borderId="16" xfId="0" applyFont="1" applyFill="1" applyBorder="1">
      <alignment vertical="center"/>
    </xf>
    <xf numFmtId="0" fontId="7" fillId="5" borderId="21" xfId="0" applyFont="1" applyFill="1" applyBorder="1">
      <alignment vertical="center"/>
    </xf>
    <xf numFmtId="0" fontId="7" fillId="2" borderId="0" xfId="0" applyFont="1" applyFill="1">
      <alignment vertical="center"/>
    </xf>
    <xf numFmtId="0" fontId="15" fillId="0" borderId="0" xfId="0" applyFont="1">
      <alignment vertical="center"/>
    </xf>
    <xf numFmtId="0" fontId="7" fillId="6" borderId="10" xfId="0" applyFont="1" applyFill="1" applyBorder="1" applyAlignment="1">
      <alignment horizontal="center" vertical="center"/>
    </xf>
    <xf numFmtId="0" fontId="7" fillId="6" borderId="10" xfId="0" applyFont="1" applyFill="1" applyBorder="1">
      <alignment vertical="center"/>
    </xf>
    <xf numFmtId="0" fontId="7" fillId="7" borderId="10" xfId="0" applyFont="1" applyFill="1" applyBorder="1" applyAlignment="1">
      <alignment horizontal="center" vertical="center"/>
    </xf>
    <xf numFmtId="0" fontId="7" fillId="7" borderId="10" xfId="0" applyFont="1" applyFill="1" applyBorder="1">
      <alignment vertical="center"/>
    </xf>
    <xf numFmtId="0" fontId="7" fillId="8" borderId="10" xfId="0" applyFont="1" applyFill="1" applyBorder="1" applyAlignment="1">
      <alignment horizontal="center" vertical="center"/>
    </xf>
    <xf numFmtId="0" fontId="7" fillId="8" borderId="10" xfId="0" applyFont="1" applyFill="1" applyBorder="1">
      <alignment vertical="center"/>
    </xf>
    <xf numFmtId="0" fontId="7" fillId="9" borderId="10" xfId="0" applyFont="1" applyFill="1" applyBorder="1" applyAlignment="1">
      <alignment horizontal="center" vertical="center"/>
    </xf>
    <xf numFmtId="0" fontId="7" fillId="9" borderId="10" xfId="0" applyFont="1" applyFill="1" applyBorder="1">
      <alignment vertical="center"/>
    </xf>
    <xf numFmtId="0" fontId="16" fillId="10" borderId="10" xfId="0" applyFont="1" applyFill="1" applyBorder="1" applyAlignment="1">
      <alignment horizontal="center" vertical="center"/>
    </xf>
    <xf numFmtId="0" fontId="16" fillId="10" borderId="10" xfId="0" applyFont="1" applyFill="1" applyBorder="1">
      <alignment vertical="center"/>
    </xf>
    <xf numFmtId="0" fontId="7" fillId="3" borderId="16" xfId="0" applyFont="1" applyFill="1" applyBorder="1">
      <alignment vertical="center"/>
    </xf>
    <xf numFmtId="0" fontId="7" fillId="11" borderId="16" xfId="0" applyFont="1" applyFill="1" applyBorder="1">
      <alignment vertical="center"/>
    </xf>
    <xf numFmtId="0" fontId="7" fillId="11" borderId="19" xfId="0" applyFont="1" applyFill="1" applyBorder="1">
      <alignment vertical="center"/>
    </xf>
    <xf numFmtId="0" fontId="7" fillId="11" borderId="21" xfId="0" applyFont="1" applyFill="1" applyBorder="1">
      <alignment vertical="center"/>
    </xf>
    <xf numFmtId="0" fontId="7" fillId="11" borderId="10" xfId="0" applyFont="1" applyFill="1" applyBorder="1" applyAlignment="1">
      <alignment horizontal="center" vertical="center"/>
    </xf>
    <xf numFmtId="0" fontId="7" fillId="12" borderId="19" xfId="0" applyFont="1" applyFill="1" applyBorder="1" applyAlignment="1">
      <alignment horizontal="center" vertical="center"/>
    </xf>
    <xf numFmtId="0" fontId="7" fillId="12" borderId="10" xfId="0" applyFont="1" applyFill="1" applyBorder="1" applyAlignment="1">
      <alignment horizontal="center" vertical="center"/>
    </xf>
    <xf numFmtId="0" fontId="7" fillId="12" borderId="20" xfId="0" applyFont="1" applyFill="1" applyBorder="1" applyAlignment="1">
      <alignment horizontal="center" vertical="center"/>
    </xf>
    <xf numFmtId="0" fontId="7" fillId="12" borderId="19" xfId="0" applyFont="1" applyFill="1" applyBorder="1">
      <alignment vertical="center"/>
    </xf>
    <xf numFmtId="0" fontId="7" fillId="12" borderId="10" xfId="0" applyFont="1" applyFill="1" applyBorder="1">
      <alignment vertical="center"/>
    </xf>
    <xf numFmtId="0" fontId="7" fillId="12" borderId="20" xfId="0" applyFont="1" applyFill="1" applyBorder="1">
      <alignment vertical="center"/>
    </xf>
    <xf numFmtId="0" fontId="7" fillId="12" borderId="21" xfId="0" applyFont="1" applyFill="1" applyBorder="1">
      <alignment vertical="center"/>
    </xf>
    <xf numFmtId="0" fontId="7" fillId="12" borderId="22" xfId="0" applyFont="1" applyFill="1" applyBorder="1">
      <alignment vertical="center"/>
    </xf>
    <xf numFmtId="0" fontId="7" fillId="12" borderId="23" xfId="0" applyFont="1" applyFill="1" applyBorder="1">
      <alignment vertical="center"/>
    </xf>
    <xf numFmtId="0" fontId="17" fillId="0" borderId="0" xfId="2" applyFont="1">
      <alignment vertical="center"/>
    </xf>
    <xf numFmtId="38" fontId="18" fillId="11" borderId="10" xfId="2" applyNumberFormat="1" applyFont="1" applyFill="1" applyBorder="1">
      <alignment vertical="center"/>
    </xf>
    <xf numFmtId="0" fontId="18" fillId="11" borderId="10" xfId="2" applyFont="1" applyFill="1" applyBorder="1" applyAlignment="1">
      <alignment horizontal="left" vertical="center" indent="1"/>
    </xf>
    <xf numFmtId="0" fontId="18" fillId="0" borderId="0" xfId="2" applyFont="1">
      <alignment vertical="center"/>
    </xf>
    <xf numFmtId="0" fontId="17" fillId="11" borderId="10" xfId="2" applyFont="1" applyFill="1" applyBorder="1" applyAlignment="1">
      <alignment horizontal="left" vertical="center" indent="1"/>
    </xf>
    <xf numFmtId="38" fontId="18" fillId="13" borderId="10" xfId="2" applyNumberFormat="1" applyFont="1" applyFill="1" applyBorder="1">
      <alignment vertical="center"/>
    </xf>
    <xf numFmtId="0" fontId="18" fillId="13" borderId="10" xfId="2" applyFont="1" applyFill="1" applyBorder="1">
      <alignment vertical="center"/>
    </xf>
    <xf numFmtId="0" fontId="17" fillId="13" borderId="10" xfId="2" applyFont="1" applyFill="1" applyBorder="1">
      <alignment vertical="center"/>
    </xf>
    <xf numFmtId="38" fontId="18" fillId="5" borderId="10" xfId="2" applyNumberFormat="1" applyFont="1" applyFill="1" applyBorder="1">
      <alignment vertical="center"/>
    </xf>
    <xf numFmtId="0" fontId="18" fillId="5" borderId="10" xfId="2" applyFont="1" applyFill="1" applyBorder="1" applyAlignment="1">
      <alignment horizontal="left" vertical="center" indent="1"/>
    </xf>
    <xf numFmtId="0" fontId="17" fillId="5" borderId="10" xfId="2" applyFont="1" applyFill="1" applyBorder="1" applyAlignment="1">
      <alignment horizontal="left" vertical="center" indent="1"/>
    </xf>
    <xf numFmtId="38" fontId="18" fillId="14" borderId="10" xfId="2" applyNumberFormat="1" applyFont="1" applyFill="1" applyBorder="1">
      <alignment vertical="center"/>
    </xf>
    <xf numFmtId="0" fontId="18" fillId="14" borderId="10" xfId="2" applyFont="1" applyFill="1" applyBorder="1">
      <alignment vertical="center"/>
    </xf>
    <xf numFmtId="0" fontId="17" fillId="14" borderId="10" xfId="2" applyFont="1" applyFill="1" applyBorder="1">
      <alignment vertical="center"/>
    </xf>
    <xf numFmtId="38" fontId="18" fillId="3" borderId="10" xfId="2" applyNumberFormat="1" applyFont="1" applyFill="1" applyBorder="1">
      <alignment vertical="center"/>
    </xf>
    <xf numFmtId="0" fontId="18" fillId="3" borderId="10" xfId="2" applyFont="1" applyFill="1" applyBorder="1" applyAlignment="1">
      <alignment horizontal="left" vertical="center" indent="1"/>
    </xf>
    <xf numFmtId="0" fontId="17" fillId="3" borderId="10" xfId="2" applyFont="1" applyFill="1" applyBorder="1" applyAlignment="1">
      <alignment horizontal="left" vertical="center" indent="1"/>
    </xf>
    <xf numFmtId="38" fontId="18" fillId="15" borderId="10" xfId="2" applyNumberFormat="1" applyFont="1" applyFill="1" applyBorder="1">
      <alignment vertical="center"/>
    </xf>
    <xf numFmtId="0" fontId="18" fillId="15" borderId="10" xfId="2" applyFont="1" applyFill="1" applyBorder="1">
      <alignment vertical="center"/>
    </xf>
    <xf numFmtId="0" fontId="17" fillId="15" borderId="10" xfId="2" applyFont="1" applyFill="1" applyBorder="1">
      <alignment vertical="center"/>
    </xf>
    <xf numFmtId="38" fontId="18" fillId="4" borderId="10" xfId="2" applyNumberFormat="1" applyFont="1" applyFill="1" applyBorder="1">
      <alignment vertical="center"/>
    </xf>
    <xf numFmtId="0" fontId="18" fillId="4" borderId="10" xfId="2" applyFont="1" applyFill="1" applyBorder="1" applyAlignment="1">
      <alignment horizontal="left" vertical="center" indent="1"/>
    </xf>
    <xf numFmtId="0" fontId="17" fillId="4" borderId="10" xfId="2" applyFont="1" applyFill="1" applyBorder="1" applyAlignment="1">
      <alignment horizontal="left" vertical="center" indent="1"/>
    </xf>
    <xf numFmtId="38" fontId="18" fillId="16" borderId="10" xfId="2" applyNumberFormat="1" applyFont="1" applyFill="1" applyBorder="1">
      <alignment vertical="center"/>
    </xf>
    <xf numFmtId="0" fontId="18" fillId="16" borderId="10" xfId="2" applyFont="1" applyFill="1" applyBorder="1">
      <alignment vertical="center"/>
    </xf>
    <xf numFmtId="0" fontId="17" fillId="16" borderId="10" xfId="2" applyFont="1" applyFill="1" applyBorder="1">
      <alignment vertical="center"/>
    </xf>
    <xf numFmtId="38" fontId="22" fillId="17" borderId="10" xfId="3" applyFont="1" applyFill="1" applyBorder="1" applyAlignment="1">
      <alignment horizontal="right" vertical="center"/>
    </xf>
    <xf numFmtId="0" fontId="22" fillId="17" borderId="10" xfId="4" applyFont="1" applyFill="1" applyBorder="1">
      <alignment vertical="center"/>
    </xf>
    <xf numFmtId="38" fontId="23" fillId="0" borderId="10" xfId="3" applyFont="1" applyBorder="1" applyAlignment="1">
      <alignment horizontal="center" vertical="center"/>
    </xf>
    <xf numFmtId="0" fontId="18" fillId="0" borderId="10" xfId="2" applyFont="1" applyBorder="1" applyAlignment="1">
      <alignment horizontal="center" vertical="center"/>
    </xf>
    <xf numFmtId="0" fontId="7" fillId="12" borderId="24" xfId="0" applyFont="1" applyFill="1" applyBorder="1">
      <alignment vertical="center"/>
    </xf>
    <xf numFmtId="0" fontId="7" fillId="12" borderId="15" xfId="0" applyFont="1" applyFill="1" applyBorder="1">
      <alignment vertical="center"/>
    </xf>
    <xf numFmtId="0" fontId="7" fillId="12" borderId="25" xfId="0" applyFont="1" applyFill="1" applyBorder="1">
      <alignment vertical="center"/>
    </xf>
    <xf numFmtId="0" fontId="7" fillId="18" borderId="15" xfId="0" applyFont="1" applyFill="1" applyBorder="1" applyAlignment="1">
      <alignment horizontal="center" vertical="center"/>
    </xf>
    <xf numFmtId="0" fontId="7" fillId="18" borderId="10" xfId="0" applyFont="1" applyFill="1" applyBorder="1" applyAlignment="1">
      <alignment horizontal="center" vertical="center"/>
    </xf>
    <xf numFmtId="0" fontId="7" fillId="18" borderId="10" xfId="0" applyFont="1" applyFill="1" applyBorder="1">
      <alignment vertical="center"/>
    </xf>
    <xf numFmtId="0" fontId="7" fillId="18" borderId="0" xfId="0" applyFont="1" applyFill="1">
      <alignment vertical="center"/>
    </xf>
    <xf numFmtId="0" fontId="24" fillId="2" borderId="1" xfId="2" applyFont="1" applyFill="1" applyBorder="1">
      <alignment vertical="center"/>
    </xf>
    <xf numFmtId="0" fontId="18" fillId="2" borderId="1" xfId="2" applyFont="1" applyFill="1" applyBorder="1">
      <alignment vertical="center"/>
    </xf>
    <xf numFmtId="0" fontId="24" fillId="18" borderId="1" xfId="2" applyFont="1" applyFill="1" applyBorder="1">
      <alignment vertical="center"/>
    </xf>
    <xf numFmtId="0" fontId="18" fillId="18" borderId="1" xfId="2" applyFont="1" applyFill="1" applyBorder="1">
      <alignment vertical="center"/>
    </xf>
    <xf numFmtId="0" fontId="18" fillId="0" borderId="1" xfId="2" applyFont="1" applyBorder="1">
      <alignment vertical="center"/>
    </xf>
    <xf numFmtId="0" fontId="7" fillId="4" borderId="10" xfId="0" applyFont="1" applyFill="1" applyBorder="1">
      <alignment vertical="center"/>
    </xf>
    <xf numFmtId="0" fontId="7" fillId="3" borderId="10" xfId="0" applyFont="1" applyFill="1" applyBorder="1">
      <alignment vertical="center"/>
    </xf>
    <xf numFmtId="0" fontId="7" fillId="5" borderId="10" xfId="0" applyFont="1" applyFill="1" applyBorder="1">
      <alignment vertical="center"/>
    </xf>
    <xf numFmtId="0" fontId="7" fillId="11" borderId="10" xfId="0" applyFont="1" applyFill="1" applyBorder="1">
      <alignment vertical="center"/>
    </xf>
    <xf numFmtId="0" fontId="20" fillId="0" borderId="0" xfId="0" applyFont="1">
      <alignment vertical="center"/>
    </xf>
    <xf numFmtId="0" fontId="14" fillId="0" borderId="0" xfId="0" applyFont="1" applyAlignment="1">
      <alignment horizontal="left" vertical="center" indent="1"/>
    </xf>
    <xf numFmtId="0" fontId="7" fillId="12" borderId="20" xfId="0" applyFont="1" applyFill="1" applyBorder="1" applyAlignment="1">
      <alignment vertical="center" wrapText="1"/>
    </xf>
    <xf numFmtId="0" fontId="7" fillId="12" borderId="25" xfId="0" applyFont="1" applyFill="1" applyBorder="1" applyAlignment="1">
      <alignment vertical="center" wrapText="1"/>
    </xf>
    <xf numFmtId="0" fontId="7" fillId="0" borderId="10" xfId="0" quotePrefix="1" applyFont="1" applyBorder="1" applyAlignment="1">
      <alignment vertical="top" wrapText="1"/>
    </xf>
    <xf numFmtId="0" fontId="7" fillId="0" borderId="13" xfId="0" applyFont="1" applyBorder="1" applyAlignment="1">
      <alignment vertical="top" wrapText="1"/>
    </xf>
    <xf numFmtId="0" fontId="7" fillId="0" borderId="12" xfId="0" applyFont="1" applyBorder="1" applyAlignment="1">
      <alignment horizontal="left" vertical="top" wrapText="1"/>
    </xf>
    <xf numFmtId="0" fontId="7" fillId="0" borderId="12" xfId="0" applyFont="1" applyBorder="1" applyAlignment="1">
      <alignment vertical="top" wrapText="1"/>
    </xf>
    <xf numFmtId="0" fontId="7" fillId="0" borderId="15" xfId="0" applyFont="1" applyBorder="1" applyAlignment="1">
      <alignment vertical="top" wrapText="1"/>
    </xf>
    <xf numFmtId="0" fontId="26" fillId="0" borderId="10" xfId="5" applyFont="1" applyBorder="1" applyAlignment="1">
      <alignment horizontal="left" vertical="top" wrapText="1"/>
    </xf>
    <xf numFmtId="0" fontId="21" fillId="0" borderId="10" xfId="5" applyFont="1" applyBorder="1" applyAlignment="1">
      <alignment horizontal="left" vertical="center" wrapText="1"/>
    </xf>
    <xf numFmtId="0" fontId="7" fillId="0" borderId="10" xfId="0" quotePrefix="1" applyFont="1" applyBorder="1" applyAlignment="1">
      <alignment horizontal="left" vertical="top" wrapText="1"/>
    </xf>
    <xf numFmtId="0" fontId="7" fillId="0" borderId="10" xfId="0" applyFont="1" applyBorder="1" applyAlignment="1">
      <alignment horizontal="left" vertical="center" wrapText="1"/>
    </xf>
    <xf numFmtId="0" fontId="6" fillId="0" borderId="26" xfId="5" applyBorder="1" applyAlignment="1">
      <alignment horizontal="left" vertical="center" wrapText="1"/>
    </xf>
    <xf numFmtId="0" fontId="7" fillId="12" borderId="23" xfId="0" applyFont="1" applyFill="1" applyBorder="1" applyAlignment="1">
      <alignment vertical="center" wrapText="1"/>
    </xf>
    <xf numFmtId="0" fontId="7" fillId="0" borderId="5" xfId="0" applyFont="1" applyBorder="1" applyAlignment="1">
      <alignment horizontal="centerContinuous" vertical="center"/>
    </xf>
    <xf numFmtId="0" fontId="28" fillId="0" borderId="0" xfId="0" applyFont="1" applyAlignment="1">
      <alignment vertical="center" wrapText="1"/>
    </xf>
    <xf numFmtId="0" fontId="7" fillId="12" borderId="16" xfId="0" applyFont="1" applyFill="1" applyBorder="1" applyAlignment="1">
      <alignment horizontal="center" vertical="center"/>
    </xf>
    <xf numFmtId="0" fontId="7" fillId="12" borderId="17" xfId="0" applyFont="1" applyFill="1" applyBorder="1" applyAlignment="1">
      <alignment horizontal="center" vertical="center"/>
    </xf>
    <xf numFmtId="0" fontId="7" fillId="12" borderId="18" xfId="0" applyFont="1" applyFill="1" applyBorder="1" applyAlignment="1">
      <alignment horizontal="center" vertical="center"/>
    </xf>
    <xf numFmtId="0" fontId="7" fillId="12" borderId="19" xfId="0" applyFont="1" applyFill="1" applyBorder="1" applyAlignment="1">
      <alignment horizontal="center" vertical="center"/>
    </xf>
    <xf numFmtId="0" fontId="7" fillId="12" borderId="10" xfId="0" applyFont="1" applyFill="1" applyBorder="1" applyAlignment="1">
      <alignment horizontal="center"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11" xfId="0" applyBorder="1" applyAlignment="1">
      <alignment vertical="top" wrapText="1"/>
    </xf>
    <xf numFmtId="0" fontId="0" fillId="0" borderId="2" xfId="0" applyBorder="1" applyAlignment="1">
      <alignment vertical="top" wrapText="1"/>
    </xf>
    <xf numFmtId="0" fontId="0" fillId="0" borderId="13" xfId="0" applyBorder="1" applyAlignment="1">
      <alignment vertical="top"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1" xfId="0" applyBorder="1">
      <alignment vertical="center"/>
    </xf>
    <xf numFmtId="0" fontId="0" fillId="0" borderId="2" xfId="0" applyBorder="1">
      <alignment vertical="center"/>
    </xf>
    <xf numFmtId="0" fontId="0" fillId="0" borderId="13"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3" fillId="0" borderId="0" xfId="0" applyFont="1" applyAlignment="1">
      <alignment horizontal="center" vertical="center"/>
    </xf>
    <xf numFmtId="0" fontId="22" fillId="0" borderId="0" xfId="2" applyFont="1" applyAlignment="1">
      <alignment horizontal="center" vertical="center"/>
    </xf>
  </cellXfs>
  <cellStyles count="6">
    <cellStyle name="パーセント" xfId="1" builtinId="5"/>
    <cellStyle name="桁区切り 2 2 2 2" xfId="3" xr:uid="{708F790C-7F4B-4144-A32A-081DB60DE7D7}"/>
    <cellStyle name="標準" xfId="0" builtinId="0"/>
    <cellStyle name="標準 12 2" xfId="4" xr:uid="{B6490B2D-4955-4678-B4DD-A737E9A3BFB1}"/>
    <cellStyle name="標準 2 2" xfId="2" xr:uid="{5D2D209E-71FA-4529-B4F9-58EEA5ABE121}"/>
    <cellStyle name="標準_H21業務日誌" xfId="5" xr:uid="{CDA03A85-6CB5-4A65-9304-B1A19C8014BC}"/>
  </cellStyles>
  <dxfs count="2">
    <dxf>
      <font>
        <b/>
        <i val="0"/>
      </font>
    </dxf>
    <dxf>
      <font>
        <b/>
        <i val="0"/>
      </font>
    </dxf>
  </dxfs>
  <tableStyles count="0" defaultTableStyle="TableStyleMedium9" defaultPivotStyle="PivotStyleLight16"/>
  <colors>
    <mruColors>
      <color rgb="FFFFFF99"/>
      <color rgb="FFFFCCFF"/>
      <color rgb="FF66FFFF"/>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5</xdr:col>
      <xdr:colOff>381000</xdr:colOff>
      <xdr:row>15</xdr:row>
      <xdr:rowOff>28575</xdr:rowOff>
    </xdr:from>
    <xdr:to>
      <xdr:col>7</xdr:col>
      <xdr:colOff>714375</xdr:colOff>
      <xdr:row>17</xdr:row>
      <xdr:rowOff>257175</xdr:rowOff>
    </xdr:to>
    <xdr:sp macro="" textlink="">
      <xdr:nvSpPr>
        <xdr:cNvPr id="2" name="テキスト ボックス 1">
          <a:extLst>
            <a:ext uri="{FF2B5EF4-FFF2-40B4-BE49-F238E27FC236}">
              <a16:creationId xmlns:a16="http://schemas.microsoft.com/office/drawing/2014/main" id="{E0826C50-E139-4E01-90E3-05222B013922}"/>
            </a:ext>
          </a:extLst>
        </xdr:cNvPr>
        <xdr:cNvSpPr txBox="1"/>
      </xdr:nvSpPr>
      <xdr:spPr>
        <a:xfrm>
          <a:off x="4114800" y="5829300"/>
          <a:ext cx="25527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4400">
              <a:solidFill>
                <a:srgbClr val="FF0000"/>
              </a:solidFill>
            </a:rPr>
            <a:t>記入例</a:t>
          </a:r>
          <a:endParaRPr kumimoji="1" lang="en-US" altLang="ja-JP" sz="4400">
            <a:solidFill>
              <a:srgbClr val="FF0000"/>
            </a:solidFill>
          </a:endParaRPr>
        </a:p>
        <a:p>
          <a:endParaRPr kumimoji="1" lang="ja-JP" altLang="en-US" sz="2400"/>
        </a:p>
      </xdr:txBody>
    </xdr:sp>
    <xdr:clientData/>
  </xdr:twoCellAnchor>
  <xdr:twoCellAnchor>
    <xdr:from>
      <xdr:col>3</xdr:col>
      <xdr:colOff>904875</xdr:colOff>
      <xdr:row>15</xdr:row>
      <xdr:rowOff>200025</xdr:rowOff>
    </xdr:from>
    <xdr:to>
      <xdr:col>6</xdr:col>
      <xdr:colOff>228600</xdr:colOff>
      <xdr:row>17</xdr:row>
      <xdr:rowOff>428625</xdr:rowOff>
    </xdr:to>
    <xdr:sp macro="" textlink="">
      <xdr:nvSpPr>
        <xdr:cNvPr id="3" name="テキスト ボックス 2">
          <a:extLst>
            <a:ext uri="{FF2B5EF4-FFF2-40B4-BE49-F238E27FC236}">
              <a16:creationId xmlns:a16="http://schemas.microsoft.com/office/drawing/2014/main" id="{E28F7BD8-5BBB-2A83-4987-B931ECBB5B0D}"/>
            </a:ext>
          </a:extLst>
        </xdr:cNvPr>
        <xdr:cNvSpPr txBox="1"/>
      </xdr:nvSpPr>
      <xdr:spPr>
        <a:xfrm>
          <a:off x="2724150" y="6000750"/>
          <a:ext cx="25527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現地</a:t>
          </a:r>
          <a:r>
            <a:rPr kumimoji="1" lang="en-US" altLang="ja-JP" sz="2400">
              <a:solidFill>
                <a:srgbClr val="FF0000"/>
              </a:solidFill>
            </a:rPr>
            <a:t>×</a:t>
          </a:r>
        </a:p>
        <a:p>
          <a:r>
            <a:rPr kumimoji="1" lang="ja-JP" altLang="en-US" sz="2400">
              <a:solidFill>
                <a:srgbClr val="FF0000"/>
              </a:solidFill>
            </a:rPr>
            <a:t>現場○</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247651</xdr:colOff>
      <xdr:row>34</xdr:row>
      <xdr:rowOff>133350</xdr:rowOff>
    </xdr:from>
    <xdr:to>
      <xdr:col>4</xdr:col>
      <xdr:colOff>657225</xdr:colOff>
      <xdr:row>37</xdr:row>
      <xdr:rowOff>133350</xdr:rowOff>
    </xdr:to>
    <xdr:sp macro="" textlink="">
      <xdr:nvSpPr>
        <xdr:cNvPr id="2" name="テキスト ボックス 1">
          <a:extLst>
            <a:ext uri="{FF2B5EF4-FFF2-40B4-BE49-F238E27FC236}">
              <a16:creationId xmlns:a16="http://schemas.microsoft.com/office/drawing/2014/main" id="{805C5FD5-B5DB-CD68-393C-5753EAC9FA74}"/>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171451</xdr:colOff>
      <xdr:row>34</xdr:row>
      <xdr:rowOff>114300</xdr:rowOff>
    </xdr:from>
    <xdr:to>
      <xdr:col>11</xdr:col>
      <xdr:colOff>800100</xdr:colOff>
      <xdr:row>37</xdr:row>
      <xdr:rowOff>114300</xdr:rowOff>
    </xdr:to>
    <xdr:sp macro="" textlink="">
      <xdr:nvSpPr>
        <xdr:cNvPr id="3" name="テキスト ボックス 2">
          <a:extLst>
            <a:ext uri="{FF2B5EF4-FFF2-40B4-BE49-F238E27FC236}">
              <a16:creationId xmlns:a16="http://schemas.microsoft.com/office/drawing/2014/main" id="{A42A1589-C54A-E425-21A6-D9799B30E415}"/>
            </a:ext>
          </a:extLst>
        </xdr:cNvPr>
        <xdr:cNvSpPr txBox="1"/>
      </xdr:nvSpPr>
      <xdr:spPr>
        <a:xfrm>
          <a:off x="11372851" y="1283017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247651</xdr:colOff>
      <xdr:row>31</xdr:row>
      <xdr:rowOff>133350</xdr:rowOff>
    </xdr:from>
    <xdr:to>
      <xdr:col>4</xdr:col>
      <xdr:colOff>657225</xdr:colOff>
      <xdr:row>34</xdr:row>
      <xdr:rowOff>133350</xdr:rowOff>
    </xdr:to>
    <xdr:sp macro="" textlink="">
      <xdr:nvSpPr>
        <xdr:cNvPr id="2" name="テキスト ボックス 1">
          <a:extLst>
            <a:ext uri="{FF2B5EF4-FFF2-40B4-BE49-F238E27FC236}">
              <a16:creationId xmlns:a16="http://schemas.microsoft.com/office/drawing/2014/main" id="{6EC07DE5-B178-46B5-A381-E9B623E8E68A}"/>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31</xdr:row>
      <xdr:rowOff>133350</xdr:rowOff>
    </xdr:from>
    <xdr:to>
      <xdr:col>11</xdr:col>
      <xdr:colOff>666750</xdr:colOff>
      <xdr:row>34</xdr:row>
      <xdr:rowOff>133350</xdr:rowOff>
    </xdr:to>
    <xdr:sp macro="" textlink="">
      <xdr:nvSpPr>
        <xdr:cNvPr id="3" name="テキスト ボックス 2">
          <a:extLst>
            <a:ext uri="{FF2B5EF4-FFF2-40B4-BE49-F238E27FC236}">
              <a16:creationId xmlns:a16="http://schemas.microsoft.com/office/drawing/2014/main" id="{DA260C72-3976-4017-A9D9-98E88BE028D6}"/>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247651</xdr:colOff>
      <xdr:row>32</xdr:row>
      <xdr:rowOff>133350</xdr:rowOff>
    </xdr:from>
    <xdr:to>
      <xdr:col>4</xdr:col>
      <xdr:colOff>657225</xdr:colOff>
      <xdr:row>35</xdr:row>
      <xdr:rowOff>133350</xdr:rowOff>
    </xdr:to>
    <xdr:sp macro="" textlink="">
      <xdr:nvSpPr>
        <xdr:cNvPr id="2" name="テキスト ボックス 1">
          <a:extLst>
            <a:ext uri="{FF2B5EF4-FFF2-40B4-BE49-F238E27FC236}">
              <a16:creationId xmlns:a16="http://schemas.microsoft.com/office/drawing/2014/main" id="{BFB2D654-5ABC-4DEF-9F1F-8B5608083A0A}"/>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32</xdr:row>
      <xdr:rowOff>133350</xdr:rowOff>
    </xdr:from>
    <xdr:to>
      <xdr:col>11</xdr:col>
      <xdr:colOff>666750</xdr:colOff>
      <xdr:row>35</xdr:row>
      <xdr:rowOff>133350</xdr:rowOff>
    </xdr:to>
    <xdr:sp macro="" textlink="">
      <xdr:nvSpPr>
        <xdr:cNvPr id="3" name="テキスト ボックス 2">
          <a:extLst>
            <a:ext uri="{FF2B5EF4-FFF2-40B4-BE49-F238E27FC236}">
              <a16:creationId xmlns:a16="http://schemas.microsoft.com/office/drawing/2014/main" id="{25E979C6-8B3F-4233-AB8C-07DA0F6ACC5C}"/>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0828519F-6C7E-4FCE-B5E4-8827A356E7AF}"/>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FEC1DEE8-42D6-4BF7-8136-9F8391AA6DDA}"/>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A0A116DE-C9D1-4344-960C-64A39CADF0DC}"/>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5ED7D858-E175-4A83-BA9E-0ACF76114281}"/>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54E0D95E-DED6-4E45-973B-D5984DA025F6}"/>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4F9ED141-F0B4-461B-A656-4E9B557912F1}"/>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FB820204-7860-43A2-B66A-51EB4C7F9746}"/>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83F55AD4-7723-4F6F-BDC4-6AFC5D7D9945}"/>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DEC06412-2ED3-4820-AA34-0CD79E8D34CB}"/>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9B87DD86-66EB-488C-83E1-4D15D04506CA}"/>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E268D821-5765-4C17-A97E-38733A0581F5}"/>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46296183-E7A7-437C-B399-ADD40788CC3C}"/>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D4A09719-D363-4BED-AE2E-745949C02AC0}"/>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1CFFE7AD-6F73-4121-B639-11B875A9942F}"/>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BC58947A-4D9D-4A85-A688-5AD69D283780}"/>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923E8F87-E3BA-41EF-BCAF-563641F48437}"/>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247651</xdr:colOff>
      <xdr:row>35</xdr:row>
      <xdr:rowOff>133350</xdr:rowOff>
    </xdr:from>
    <xdr:to>
      <xdr:col>4</xdr:col>
      <xdr:colOff>657225</xdr:colOff>
      <xdr:row>38</xdr:row>
      <xdr:rowOff>133350</xdr:rowOff>
    </xdr:to>
    <xdr:sp macro="" textlink="">
      <xdr:nvSpPr>
        <xdr:cNvPr id="2" name="テキスト ボックス 1">
          <a:extLst>
            <a:ext uri="{FF2B5EF4-FFF2-40B4-BE49-F238E27FC236}">
              <a16:creationId xmlns:a16="http://schemas.microsoft.com/office/drawing/2014/main" id="{BDB8BE2E-B03A-4D5D-B24C-3695F877E81D}"/>
            </a:ext>
          </a:extLst>
        </xdr:cNvPr>
        <xdr:cNvSpPr txBox="1"/>
      </xdr:nvSpPr>
      <xdr:spPr>
        <a:xfrm>
          <a:off x="2066926" y="12849225"/>
          <a:ext cx="145732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twoCellAnchor>
    <xdr:from>
      <xdr:col>10</xdr:col>
      <xdr:colOff>38101</xdr:colOff>
      <xdr:row>35</xdr:row>
      <xdr:rowOff>133350</xdr:rowOff>
    </xdr:from>
    <xdr:to>
      <xdr:col>11</xdr:col>
      <xdr:colOff>666750</xdr:colOff>
      <xdr:row>38</xdr:row>
      <xdr:rowOff>133350</xdr:rowOff>
    </xdr:to>
    <xdr:sp macro="" textlink="">
      <xdr:nvSpPr>
        <xdr:cNvPr id="3" name="テキスト ボックス 2">
          <a:extLst>
            <a:ext uri="{FF2B5EF4-FFF2-40B4-BE49-F238E27FC236}">
              <a16:creationId xmlns:a16="http://schemas.microsoft.com/office/drawing/2014/main" id="{250AADA6-AFDE-4FF1-8D5F-FB5343C159FC}"/>
            </a:ext>
          </a:extLst>
        </xdr:cNvPr>
        <xdr:cNvSpPr txBox="1"/>
      </xdr:nvSpPr>
      <xdr:spPr>
        <a:xfrm>
          <a:off x="11239501" y="12849225"/>
          <a:ext cx="1323974"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solidFill>
                <a:srgbClr val="FF0000"/>
              </a:solidFill>
            </a:rPr>
            <a:t>計算式の範囲は毎回確認すること</a:t>
          </a:r>
          <a:endParaRPr kumimoji="1" lang="en-US" altLang="ja-JP" sz="1050">
            <a:solidFill>
              <a:srgbClr val="FF0000"/>
            </a:solidFill>
          </a:endParaRPr>
        </a:p>
        <a:p>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6350">
          <a:solidFill>
            <a:schemeClr val="tx1"/>
          </a:solidFill>
        </a:ln>
      </a:spPr>
      <a:bodyPr rtlCol="0" anchor="ctr"/>
      <a:lstStyle>
        <a:defPPr algn="ctr">
          <a:defRPr kumimoji="1" sz="11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FF"/>
  </sheetPr>
  <dimension ref="A1:S57"/>
  <sheetViews>
    <sheetView zoomScaleNormal="100" workbookViewId="0">
      <selection activeCell="V5" sqref="V5"/>
    </sheetView>
  </sheetViews>
  <sheetFormatPr baseColWidth="10" defaultColWidth="8.83203125" defaultRowHeight="14"/>
  <cols>
    <col min="1" max="31" width="4.6640625" customWidth="1"/>
  </cols>
  <sheetData>
    <row r="1" spans="1:19" ht="15">
      <c r="S1" s="11" t="inlineStr">
        <is>
          <t>（様式２）</t>
          <rPh sb="1" eb="3">
            <t>ヨウシキ</t>
          </rPh>
          <phoneticPr fontId="2"/>
        </is>
      </c>
    </row>
    <row r="2" spans="1:19" ht="25" customHeight="1">
      <c r="A2" s="166" t="inlineStr">
        <is>
          <t>所　長</t>
          <rPh sb="0" eb="1">
            <t>ショ</t>
          </rPh>
          <rPh sb="2" eb="3">
            <t>チョウ</t>
          </rPh>
          <phoneticPr fontId="2"/>
        </is>
      </c>
      <c r="B2" s="166"/>
      <c r="C2" s="166"/>
      <c r="D2" s="166" t="inlineStr">
        <is>
          <t>部　長</t>
          <rPh sb="0" eb="1">
            <t>ブ</t>
          </rPh>
          <rPh sb="2" eb="3">
            <t>チョウ</t>
          </rPh>
          <phoneticPr fontId="2"/>
        </is>
      </c>
      <c r="E2" s="166"/>
      <c r="F2" s="166"/>
      <c r="G2" s="166"/>
      <c r="H2" s="166"/>
      <c r="I2" s="166"/>
      <c r="J2" s="166"/>
      <c r="K2" s="166"/>
      <c r="L2" s="166"/>
      <c r="M2" s="166"/>
      <c r="N2" s="166"/>
      <c r="O2" s="166"/>
      <c r="P2" s="166"/>
      <c r="Q2" s="166"/>
      <c r="R2" s="166"/>
      <c r="S2" s="166"/>
    </row>
    <row r="3" spans="1:19" ht="25" customHeight="1">
      <c r="A3" s="4"/>
      <c r="B3" s="5"/>
      <c r="C3" s="5"/>
      <c r="D3" s="4"/>
      <c r="E3" s="5"/>
      <c r="F3" s="6"/>
      <c r="G3" s="5"/>
      <c r="H3" s="5"/>
      <c r="I3" s="5"/>
      <c r="J3" s="4"/>
      <c r="K3" s="5"/>
      <c r="L3" s="6"/>
      <c r="M3" s="5"/>
      <c r="N3" s="5"/>
      <c r="O3" s="5"/>
      <c r="P3" s="5"/>
      <c r="Q3" s="5"/>
      <c r="R3" s="5"/>
      <c r="S3" s="6"/>
    </row>
    <row r="4" spans="1:19" ht="25" customHeight="1">
      <c r="A4" s="7"/>
      <c r="B4" s="3"/>
      <c r="C4" s="3"/>
      <c r="D4" s="7"/>
      <c r="E4" s="3"/>
      <c r="F4" s="8"/>
      <c r="G4" s="3"/>
      <c r="H4" s="3"/>
      <c r="I4" s="3"/>
      <c r="J4" s="7"/>
      <c r="K4" s="3"/>
      <c r="L4" s="8"/>
      <c r="M4" s="3"/>
      <c r="N4" s="3"/>
      <c r="O4" s="3"/>
      <c r="P4" s="3"/>
      <c r="Q4" s="3"/>
      <c r="R4" s="3"/>
      <c r="S4" s="8"/>
    </row>
    <row r="5" spans="1:19" ht="25" customHeight="1"/>
    <row r="6" spans="1:19" ht="25" customHeight="1">
      <c r="S6" s="1" t="inlineStr">
        <is>
          <t>令和　　　年　　　月　　　日</t>
          <rPh sb="0" eb="2">
            <t>レイワ</t>
          </rPh>
          <rPh sb="5" eb="6">
            <t>ネン</t>
          </rPh>
          <rPh sb="9" eb="10">
            <t>ガツ</t>
          </rPh>
          <rPh sb="13" eb="14">
            <t>ニチ</t>
          </rPh>
          <phoneticPr fontId="2"/>
        </is>
      </c>
    </row>
    <row r="7" spans="1:19" ht="25" customHeight="1"/>
    <row r="8" spans="1:19" ht="25" customHeight="1">
      <c r="A8" s="174" t="inlineStr">
        <is>
          <t>令和７年度　技術相談（指導）記録票</t>
          <rPh sb="0" eb="2">
            <t>レイワ</t>
          </rPh>
          <rPh sb="3" eb="5">
            <t>ネンド</t>
          </rPh>
          <rPh sb="5" eb="7">
            <t>ヘイネンド</t>
          </rPh>
          <rPh sb="6" eb="8">
            <t>ギジュツ</t>
          </rPh>
          <rPh sb="8" eb="10">
            <t>ソウダン</t>
          </rPh>
          <rPh sb="11" eb="13">
            <t>シドウ</t>
          </rPh>
          <rPh sb="14" eb="17">
            <t>キロクヒョウ</t>
          </rPh>
          <phoneticPr fontId="2"/>
        </is>
      </c>
      <c r="B8" s="174"/>
      <c r="C8" s="174"/>
      <c r="D8" s="174"/>
      <c r="E8" s="174"/>
      <c r="F8" s="174"/>
      <c r="G8" s="174"/>
      <c r="H8" s="174"/>
      <c r="I8" s="174"/>
      <c r="J8" s="174"/>
      <c r="K8" s="174"/>
      <c r="L8" s="174"/>
      <c r="M8" s="174"/>
      <c r="N8" s="174"/>
      <c r="O8" s="174"/>
      <c r="P8" s="174"/>
      <c r="Q8" s="174"/>
      <c r="R8" s="174"/>
      <c r="S8" s="174"/>
    </row>
    <row r="9" spans="1:19" ht="25" customHeight="1"/>
    <row r="10" spans="1:19" ht="25" customHeight="1">
      <c r="A10" s="160" t="inlineStr">
        <is>
          <t>記録簿　Ｎｏ．</t>
          <rPh sb="0" eb="3">
            <t>キロクボ</t>
          </rPh>
          <phoneticPr fontId="2"/>
        </is>
      </c>
      <c r="B10" s="162"/>
      <c r="C10" s="161"/>
      <c r="I10" s="3" t="inlineStr">
        <is>
          <t>対応者所属：</t>
          <rPh sb="0" eb="3">
            <t>タイオウシャ</t>
          </rPh>
          <rPh sb="3" eb="5">
            <t>ショゾク</t>
          </rPh>
          <phoneticPr fontId="2"/>
        </is>
      </c>
      <c r="J10" s="3"/>
      <c r="K10" s="3"/>
      <c r="L10" s="3"/>
      <c r="M10" s="3"/>
      <c r="N10" s="3"/>
      <c r="O10" s="3"/>
      <c r="P10" s="3"/>
      <c r="Q10" s="3"/>
      <c r="R10" s="3"/>
      <c r="S10" s="3"/>
    </row>
    <row r="11" spans="1:19" ht="25" customHeight="1">
      <c r="A11" s="9"/>
      <c r="C11" s="10"/>
      <c r="I11" s="2" t="inlineStr">
        <is>
          <t>職・氏名：</t>
          <rPh sb="0" eb="1">
            <t>ショク</t>
          </rPh>
          <rPh sb="2" eb="4">
            <t>シメイ</t>
          </rPh>
          <phoneticPr fontId="2"/>
        </is>
      </c>
      <c r="J11" s="2"/>
      <c r="K11" s="2"/>
      <c r="L11" s="2"/>
      <c r="M11" s="2"/>
      <c r="N11" s="2"/>
      <c r="O11" s="2"/>
      <c r="P11" s="2"/>
      <c r="Q11" s="2"/>
      <c r="R11" s="2"/>
      <c r="S11" s="2"/>
    </row>
    <row r="12" spans="1:19" ht="25" customHeight="1">
      <c r="A12" s="7"/>
      <c r="B12" s="3"/>
      <c r="C12" s="8"/>
    </row>
    <row r="13" spans="1:19" ht="25" customHeight="1"/>
    <row r="14" spans="1:19" ht="25" customHeight="1">
      <c r="A14" s="173" t="inlineStr">
        <is>
          <t>件　名</t>
          <rPh sb="0" eb="1">
            <t>ケン</t>
          </rPh>
          <rPh sb="2" eb="3">
            <t>メイ</t>
          </rPh>
          <phoneticPr fontId="2"/>
        </is>
      </c>
      <c r="B14" s="173"/>
      <c r="C14" s="168"/>
      <c r="D14" s="169"/>
      <c r="E14" s="169"/>
      <c r="F14" s="169"/>
      <c r="G14" s="169"/>
      <c r="H14" s="169"/>
      <c r="I14" s="169"/>
      <c r="J14" s="169"/>
      <c r="K14" s="169"/>
      <c r="L14" s="169"/>
      <c r="M14" s="169"/>
      <c r="N14" s="169"/>
      <c r="O14" s="169"/>
      <c r="P14" s="169"/>
      <c r="Q14" s="169"/>
      <c r="R14" s="169"/>
      <c r="S14" s="170"/>
    </row>
    <row r="15" spans="1:19" ht="25" customHeight="1">
      <c r="A15" s="166" t="inlineStr">
        <is>
          <t>相手方名</t>
          <rPh sb="0" eb="3">
            <t>アイテガタ</t>
          </rPh>
          <rPh sb="3" eb="4">
            <t>メイ</t>
          </rPh>
          <phoneticPr fontId="2"/>
        </is>
      </c>
      <c r="B15" s="166"/>
      <c r="C15" s="2" t="inlineStr">
        <is>
          <t>（所属）</t>
          <rPh sb="1" eb="3">
            <t>ショゾク</t>
          </rPh>
          <phoneticPr fontId="2"/>
        </is>
      </c>
      <c r="D15" s="2"/>
      <c r="E15" s="169"/>
      <c r="F15" s="169"/>
      <c r="G15" s="169"/>
      <c r="H15" s="169"/>
      <c r="I15" s="169"/>
      <c r="J15" s="169"/>
      <c r="K15" s="2" t="inlineStr">
        <is>
          <t>（職・氏名）</t>
          <rPh sb="1" eb="2">
            <t>ショク</t>
          </rPh>
          <rPh sb="3" eb="5">
            <t>シメイ</t>
          </rPh>
          <phoneticPr fontId="2"/>
        </is>
      </c>
      <c r="L15" s="2"/>
      <c r="M15" s="169"/>
      <c r="N15" s="169"/>
      <c r="O15" s="169"/>
      <c r="P15" s="169"/>
      <c r="Q15" s="169"/>
      <c r="R15" s="169"/>
      <c r="S15" s="170"/>
    </row>
    <row r="16" spans="1:19" ht="25" customHeight="1">
      <c r="A16" s="167" t="inlineStr">
        <is>
          <t>ＴＥＬ</t>
          <phoneticPr fontId="2"/>
        </is>
      </c>
      <c r="B16" s="167"/>
      <c r="C16" s="168"/>
      <c r="D16" s="169"/>
      <c r="E16" s="169"/>
      <c r="F16" s="169"/>
      <c r="G16" s="169"/>
      <c r="H16" s="169"/>
      <c r="I16" s="169"/>
      <c r="J16" s="170"/>
      <c r="K16" s="171" t="inlineStr">
        <is>
          <t>ＦＡＸ</t>
          <phoneticPr fontId="2"/>
        </is>
      </c>
      <c r="L16" s="172"/>
      <c r="M16" s="168"/>
      <c r="N16" s="169"/>
      <c r="O16" s="169"/>
      <c r="P16" s="169"/>
      <c r="Q16" s="169"/>
      <c r="R16" s="169"/>
      <c r="S16" s="170"/>
    </row>
    <row r="17" spans="1:19" ht="25" customHeight="1">
      <c r="A17" s="166" t="inlineStr">
        <is>
          <t>所在地</t>
          <rPh sb="0" eb="3">
            <t>ショザイチ</t>
          </rPh>
          <phoneticPr fontId="2"/>
        </is>
      </c>
      <c r="B17" s="166"/>
      <c r="C17" s="168"/>
      <c r="D17" s="169"/>
      <c r="E17" s="169"/>
      <c r="F17" s="169"/>
      <c r="G17" s="169"/>
      <c r="H17" s="169"/>
      <c r="I17" s="169"/>
      <c r="J17" s="169"/>
      <c r="K17" s="169"/>
      <c r="L17" s="169"/>
      <c r="M17" s="169"/>
      <c r="N17" s="169"/>
      <c r="O17" s="169"/>
      <c r="P17" s="169"/>
      <c r="Q17" s="169"/>
      <c r="R17" s="169"/>
      <c r="S17" s="170"/>
    </row>
    <row r="18" spans="1:19" ht="25" customHeight="1">
      <c r="A18" s="166" t="inlineStr">
        <is>
          <t>対応方法</t>
          <rPh sb="0" eb="2">
            <t>タイオウ</t>
          </rPh>
          <rPh sb="2" eb="4">
            <t>ホウホウ</t>
          </rPh>
          <phoneticPr fontId="2"/>
        </is>
      </c>
      <c r="B18" s="166"/>
      <c r="C18" s="160" t="inlineStr">
        <is>
          <t>電話 ・ メール ・ 来所 ・ 現場 ・ ＦＡＸ　・ Web　・ その他（　　　　　　　　　　　　　　　　）</t>
          <rPh sb="0" eb="2">
            <t>デンワ</t>
          </rPh>
          <rPh sb="11" eb="13">
            <t>ライショ</t>
          </rPh>
          <rPh sb="16" eb="18">
            <t>ゲンバ</t>
          </rPh>
          <rPh sb="35" eb="36">
            <t>ホカ</t>
          </rPh>
          <phoneticPr fontId="2"/>
        </is>
      </c>
      <c r="D18" s="162"/>
      <c r="E18" s="162"/>
      <c r="F18" s="162"/>
      <c r="G18" s="162"/>
      <c r="H18" s="162"/>
      <c r="I18" s="162"/>
      <c r="J18" s="162"/>
      <c r="K18" s="162"/>
      <c r="L18" s="162"/>
      <c r="M18" s="162"/>
      <c r="N18" s="162"/>
      <c r="O18" s="162"/>
      <c r="P18" s="162"/>
      <c r="Q18" s="162"/>
      <c r="R18" s="162"/>
      <c r="S18" s="161"/>
    </row>
    <row r="19" spans="1:19" ht="160" customHeight="1">
      <c r="A19" s="160" t="inlineStr">
        <is>
          <t>相談内容</t>
          <rPh sb="0" eb="2">
            <t>ソウダン</t>
          </rPh>
          <rPh sb="2" eb="4">
            <t>ナイヨウ</t>
          </rPh>
          <phoneticPr fontId="2"/>
        </is>
      </c>
      <c r="B19" s="161"/>
      <c r="C19" s="163"/>
      <c r="D19" s="164"/>
      <c r="E19" s="164"/>
      <c r="F19" s="164"/>
      <c r="G19" s="164"/>
      <c r="H19" s="164"/>
      <c r="I19" s="164"/>
      <c r="J19" s="164"/>
      <c r="K19" s="164"/>
      <c r="L19" s="164"/>
      <c r="M19" s="164"/>
      <c r="N19" s="164"/>
      <c r="O19" s="164"/>
      <c r="P19" s="164"/>
      <c r="Q19" s="164"/>
      <c r="R19" s="164"/>
      <c r="S19" s="165"/>
    </row>
    <row r="20" spans="1:19" ht="160" customHeight="1">
      <c r="A20" s="158" t="inlineStr">
        <is>
          <t>対応内容</t>
          <rPh sb="0" eb="2">
            <t>タイオウ</t>
          </rPh>
          <rPh sb="2" eb="4">
            <t>ナイヨウ</t>
          </rPh>
          <phoneticPr fontId="2"/>
        </is>
      </c>
      <c r="B20" s="159"/>
      <c r="C20" s="163"/>
      <c r="D20" s="164"/>
      <c r="E20" s="164"/>
      <c r="F20" s="164"/>
      <c r="G20" s="164"/>
      <c r="H20" s="164"/>
      <c r="I20" s="164"/>
      <c r="J20" s="164"/>
      <c r="K20" s="164"/>
      <c r="L20" s="164"/>
      <c r="M20" s="164"/>
      <c r="N20" s="164"/>
      <c r="O20" s="164"/>
      <c r="P20" s="164"/>
      <c r="Q20" s="164"/>
      <c r="R20" s="164"/>
      <c r="S20" s="165"/>
    </row>
    <row r="21" spans="1:19" ht="50" customHeight="1">
      <c r="A21" s="160" t="inlineStr">
        <is>
          <t>備　考</t>
          <rPh sb="0" eb="1">
            <t>ソノオ</t>
          </rPh>
          <rPh sb="2" eb="3">
            <t>コウ</t>
          </rPh>
          <phoneticPr fontId="2"/>
        </is>
      </c>
      <c r="B21" s="161"/>
      <c r="C21" s="163"/>
      <c r="D21" s="164"/>
      <c r="E21" s="164"/>
      <c r="F21" s="164"/>
      <c r="G21" s="164"/>
      <c r="H21" s="164"/>
      <c r="I21" s="164"/>
      <c r="J21" s="164"/>
      <c r="K21" s="164"/>
      <c r="L21" s="164"/>
      <c r="M21" s="164"/>
      <c r="N21" s="164"/>
      <c r="O21" s="164"/>
      <c r="P21" s="164"/>
      <c r="Q21" s="164"/>
      <c r="R21" s="164"/>
      <c r="S21" s="165"/>
    </row>
    <row r="22" spans="1:19" ht="20" customHeight="1"/>
    <row r="23" spans="1:19" ht="20" customHeight="1"/>
    <row r="24" spans="1:19" ht="20" customHeight="1"/>
    <row r="25" spans="1:19" ht="20" customHeight="1"/>
    <row r="26" spans="1:19" ht="20" customHeight="1"/>
    <row r="27" spans="1:19" ht="20" customHeight="1"/>
    <row r="28" spans="1:19" ht="20" customHeight="1"/>
    <row r="29" spans="1:19" ht="20" customHeight="1"/>
    <row r="30" spans="1:19" ht="20" customHeight="1"/>
    <row r="31" spans="1:19" ht="20" customHeight="1"/>
    <row r="32" spans="1:19"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sheetData>
  <mergeCells count="26">
    <mergeCell ref="M2:S2"/>
    <mergeCell ref="A8:S8"/>
    <mergeCell ref="A2:C2"/>
    <mergeCell ref="D2:F2"/>
    <mergeCell ref="A10:C10"/>
    <mergeCell ref="G2:I2"/>
    <mergeCell ref="J2:L2"/>
    <mergeCell ref="A15:B15"/>
    <mergeCell ref="A16:B16"/>
    <mergeCell ref="C14:S14"/>
    <mergeCell ref="A17:B17"/>
    <mergeCell ref="K16:L16"/>
    <mergeCell ref="C17:S17"/>
    <mergeCell ref="C16:J16"/>
    <mergeCell ref="M16:S16"/>
    <mergeCell ref="E15:J15"/>
    <mergeCell ref="M15:S15"/>
    <mergeCell ref="A14:B14"/>
    <mergeCell ref="A20:B20"/>
    <mergeCell ref="A21:B21"/>
    <mergeCell ref="C18:S18"/>
    <mergeCell ref="C19:S19"/>
    <mergeCell ref="C20:S20"/>
    <mergeCell ref="C21:S21"/>
    <mergeCell ref="A18:B18"/>
    <mergeCell ref="A19:B19"/>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1E5C-2AB7-468D-8A83-BFBE129CA5BB}">
  <sheetPr>
    <pageSetUpPr fitToPage="1"/>
  </sheetPr>
  <dimension ref="A1:O41"/>
  <sheetViews>
    <sheetView tabSelected="1" view="pageBreakPreview" zoomScaleNormal="80" zoomScaleSheetLayoutView="100" workbookViewId="0">
      <selection activeCell="J10" sqref="J10"/>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49"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r>
            <t>研究所名：○○</t>
          </r>
          <r>
            <rPr>
              <sz val="11"/>
              <rFont val="ＭＳ Ｐゴシック"/>
              <family val="3"/>
              <charset val="128"/>
            </rPr>
            <t>研究所　　　　　　　　　　　　　　</t>
          </r>
          <rPh sb="0" eb="3">
            <t>ケンキュウショ</t>
          </rPh>
          <rPh sb="3" eb="4">
            <t>メイ</t>
          </rPh>
          <rPh sb="7" eb="10">
            <t>ケンキュウショ</t>
          </rPh>
          <phoneticPr fontId="2"/>
        </is>
      </c>
      <c r="J3" s="22"/>
      <c r="K3" s="23"/>
      <c r="L3" s="24"/>
      <c r="M3" s="24"/>
      <c r="N3" s="24"/>
    </row>
    <row r="4" spans="1:15" ht="15" customHeight="1">
      <c r="I4" s="15" t="inlineStr">
        <is>
          <t>部 ・室名：○○部</t>
          <rPh sb="0" eb="1">
            <t>ブ</t>
          </rPh>
          <rPh sb="3" eb="4">
            <t>シツ</t>
          </rPh>
          <rPh sb="4" eb="5">
            <t>メイ</t>
          </rPh>
          <rPh sb="8" eb="9">
            <t>ブ</t>
          </rPh>
          <phoneticPr fontId="2"/>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v>1</v>
      </c>
      <c r="B9" s="40">
        <v>45757</v>
      </c>
      <c r="C9" s="40" t="inlineStr">
        <is>
          <t>工総研</t>
        </is>
      </c>
      <c r="D9" s="12"/>
      <c r="E9" s="38" t="inlineStr">
        <is>
          <t>メール</t>
        </is>
      </c>
      <c r="F9" s="18"/>
      <c r="G9" s="18" t="inlineStr">
        <is>
          <t>○○市</t>
          <rPh sb="2" eb="3">
            <t>シ</t>
          </rPh>
          <phoneticPr fontId="12"/>
        </is>
      </c>
      <c r="H9" s="18" t="inlineStr">
        <is>
          <t>収穫時に平置きした生産物の個数をカウントする物体検知を行いたい</t>
          <rPh sb="9" eb="12">
            <t>セイサンブツ</t>
          </rPh>
          <rPh sb="27" eb="28">
            <t>オコナ</t>
          </rPh>
          <phoneticPr fontId="12"/>
        </is>
      </c>
      <c r="I9" s="18"/>
      <c r="J9" s="12">
        <v>2</v>
      </c>
      <c r="K9" s="34" t="inlineStr">
        <is>
          <t>無</t>
          <rPh sb="0" eb="1">
            <t>ム</t>
          </rPh>
          <phoneticPr fontId="2"/>
        </is>
      </c>
      <c r="L9" s="82">
        <v>1</v>
      </c>
      <c r="M9" s="83"/>
      <c r="N9" s="83"/>
      <c r="O9" s="84"/>
    </row>
    <row r="10" spans="1:15" ht="41.25" customHeight="1">
      <c r="A10" s="17">
        <v>2</v>
      </c>
      <c r="B10" s="40">
        <v>45758</v>
      </c>
      <c r="C10" s="40" t="inlineStr">
        <is>
          <t>農総研</t>
        </is>
      </c>
      <c r="D10" s="12"/>
      <c r="E10" s="38" t="inlineStr">
        <is>
          <t>来所</t>
        </is>
      </c>
      <c r="F10" s="13" t="inlineStr">
        <is>
          <t>株式会社○○
○○氏</t>
          <rPh sb="0" eb="2">
            <t>カブシキ</t>
          </rPh>
          <rPh sb="2" eb="4">
            <t>カイシャ</t>
          </rPh>
          <rPh sb="9" eb="10">
            <t>シ</t>
          </rPh>
          <phoneticPr fontId="12"/>
        </is>
      </c>
      <c r="G10" s="13" t="inlineStr">
        <is>
          <t>藤崎町</t>
          <rPh sb="0" eb="3">
            <t>フジサキマチ</t>
          </rPh>
          <phoneticPr fontId="12"/>
        </is>
      </c>
      <c r="H10" s="13" t="inlineStr">
        <is>
          <t>「あおもりっこ」の特性を教えてほしい</t>
          <rPh sb="9" eb="11">
            <t>トクセイ</t>
          </rPh>
          <rPh sb="12" eb="13">
            <t>オシ</t>
          </rPh>
          <phoneticPr fontId="12"/>
        </is>
      </c>
      <c r="I10" s="13" t="inlineStr">
        <is>
          <t>製麺・製パン適性に優れること等を説明。</t>
          <rPh sb="0" eb="2">
            <t>セイメン</t>
          </rPh>
          <rPh sb="3" eb="4">
            <t>セイ</t>
          </rPh>
          <rPh sb="6" eb="8">
            <t>テキセイ</t>
          </rPh>
          <rPh sb="9" eb="10">
            <t>スグ</t>
          </rPh>
          <rPh sb="14" eb="15">
            <t>ナド</t>
          </rPh>
          <rPh sb="16" eb="18">
            <t>セツメイ</t>
          </rPh>
          <phoneticPr fontId="9"/>
        </is>
      </c>
      <c r="J10" s="12">
        <v>1</v>
      </c>
      <c r="K10" s="34" t="inlineStr">
        <is>
          <t>無</t>
          <rPh sb="0" eb="1">
            <t>ム</t>
          </rPh>
          <phoneticPr fontId="2"/>
        </is>
      </c>
      <c r="L10" s="82">
        <v>1</v>
      </c>
      <c r="M10" s="83"/>
      <c r="N10" s="83"/>
      <c r="O10" s="84"/>
    </row>
    <row r="11" spans="1:15" ht="43.5" customHeight="1">
      <c r="A11" s="17">
        <v>3</v>
      </c>
      <c r="B11" s="40">
        <v>45759</v>
      </c>
      <c r="C11" s="40" t="inlineStr">
        <is>
          <t>農総研</t>
        </is>
      </c>
      <c r="D11" s="12"/>
      <c r="E11" s="38" t="inlineStr">
        <is>
          <t>電話</t>
        </is>
      </c>
      <c r="F11" s="13" t="inlineStr">
        <is>
          <t>稲作生産者
○○氏</t>
          <rPh sb="0" eb="2">
            <t>イナサク</t>
          </rPh>
          <rPh sb="2" eb="5">
            <t>セイサンシャ</t>
          </rPh>
          <rPh sb="8" eb="9">
            <t>シ</t>
          </rPh>
          <phoneticPr fontId="12"/>
        </is>
      </c>
      <c r="G11" s="13" t="inlineStr">
        <is>
          <t>つがる市</t>
          <rPh sb="3" eb="4">
            <t>シ</t>
          </rPh>
          <phoneticPr fontId="12"/>
        </is>
      </c>
      <c r="H11" s="13" t="inlineStr">
        <is>
          <t>青森県のイネいもち病菌のレースを教えてほしい。</t>
          <rPh sb="0" eb="2">
            <t>アオモリ</t>
          </rPh>
          <rPh sb="2" eb="3">
            <t>ケン</t>
          </rPh>
          <rPh sb="9" eb="11">
            <t>ビョウキン</t>
          </rPh>
          <rPh sb="16" eb="17">
            <t>オシ</t>
          </rPh>
          <phoneticPr fontId="12"/>
        </is>
      </c>
      <c r="I11" s="13" t="inlineStr">
        <is>
          <t>過去のデータを紹介。</t>
          <rPh sb="0" eb="2">
            <t>カコ</t>
          </rPh>
          <rPh sb="7" eb="9">
            <t>ショウカイ</t>
          </rPh>
          <phoneticPr fontId="12"/>
        </is>
      </c>
      <c r="J11" s="12">
        <v>4</v>
      </c>
      <c r="K11" s="34" t="inlineStr">
        <is>
          <t>無</t>
          <rPh sb="0" eb="1">
            <t>ナ</t>
          </rPh>
          <phoneticPr fontId="12"/>
        </is>
      </c>
      <c r="L11" s="82">
        <v>1</v>
      </c>
      <c r="M11" s="83"/>
      <c r="N11" s="83"/>
      <c r="O11" s="84" t="inlineStr">
        <is>
          <t>課題化</t>
          <rPh sb="0" eb="3">
            <t>カダイカ</t>
          </rPh>
          <phoneticPr fontId="5"/>
        </is>
      </c>
    </row>
    <row r="12" spans="1:15" ht="43.5" customHeight="1">
      <c r="A12" s="17">
        <v>4</v>
      </c>
      <c r="B12" s="40">
        <v>45760</v>
      </c>
      <c r="C12" s="40" t="inlineStr">
        <is>
          <t>りんご研</t>
        </is>
      </c>
      <c r="D12" s="12"/>
      <c r="E12" s="38" t="inlineStr">
        <is>
          <t>メール</t>
        </is>
      </c>
      <c r="F12" s="13" t="inlineStr">
        <is>
          <t>トマト生産者
○○氏</t>
          <rPh sb="3" eb="5">
            <t>セイサン</t>
          </rPh>
          <rPh sb="5" eb="6">
            <t>シャ</t>
          </rPh>
          <rPh sb="9" eb="10">
            <t>シ</t>
          </rPh>
          <phoneticPr fontId="12"/>
        </is>
      </c>
      <c r="G12" s="13" t="inlineStr">
        <is>
          <t>十和田市</t>
          <rPh sb="0" eb="4">
            <t>トワダシ</t>
          </rPh>
          <phoneticPr fontId="12"/>
        </is>
      </c>
      <c r="H12" s="13" t="inlineStr">
        <is>
          <t>用水に農薬が含まれていないか調べてほしい</t>
          <rPh sb="0" eb="2">
            <t>ヨウスイ</t>
          </rPh>
          <rPh sb="3" eb="5">
            <t>ノウヤク</t>
          </rPh>
          <rPh sb="6" eb="7">
            <t>フク</t>
          </rPh>
          <rPh sb="14" eb="15">
            <t>シラ</t>
          </rPh>
          <phoneticPr fontId="12"/>
        </is>
      </c>
      <c r="I12" s="13" t="inlineStr">
        <is>
          <t>外部機関を紹介</t>
          <rPh sb="0" eb="2">
            <t>ガイブ</t>
          </rPh>
          <rPh sb="2" eb="4">
            <t>キカン</t>
          </rPh>
          <rPh sb="5" eb="7">
            <t>ショウカイ</t>
          </rPh>
          <phoneticPr fontId="12"/>
        </is>
      </c>
      <c r="J12" s="12">
        <v>1</v>
      </c>
      <c r="K12" s="34" t="inlineStr">
        <is>
          <t>無</t>
          <rPh sb="0" eb="1">
            <t>ナ</t>
          </rPh>
          <phoneticPr fontId="12"/>
        </is>
      </c>
      <c r="L12" s="82"/>
      <c r="M12" s="83">
        <v>1</v>
      </c>
      <c r="N12" s="83"/>
      <c r="O12" s="84"/>
    </row>
    <row r="13" spans="1:15" ht="43.5" customHeight="1">
      <c r="A13" s="17">
        <v>5</v>
      </c>
      <c r="B13" s="40">
        <v>45761</v>
      </c>
      <c r="C13" s="40" t="inlineStr">
        <is>
          <t>畜産研</t>
        </is>
      </c>
      <c r="D13" s="12"/>
      <c r="E13" s="38" t="inlineStr">
        <is>
          <t>現場</t>
        </is>
      </c>
      <c r="F13" s="13" t="inlineStr">
        <is>
          <t>畜産農家
○○氏</t>
          <rPh sb="0" eb="2">
            <t>チクサン</t>
          </rPh>
          <rPh sb="2" eb="4">
            <t>ノウカ</t>
          </rPh>
          <rPh sb="7" eb="8">
            <t>シ</t>
          </rPh>
          <phoneticPr fontId="12"/>
        </is>
      </c>
      <c r="G13" s="13" t="inlineStr">
        <is>
          <t>八戸市</t>
          <rPh sb="0" eb="3">
            <t>ハチノヘシ</t>
          </rPh>
          <phoneticPr fontId="9"/>
        </is>
      </c>
      <c r="H13" s="13" t="inlineStr">
        <is>
          <t>稲SGSを給与したいと考えており、給与方法を教えてほしい。</t>
          <rPh sb="0" eb="1">
            <t>イネ</t>
          </rPh>
          <rPh sb="5" eb="7">
            <t>キュウヨ</t>
          </rPh>
          <rPh sb="11" eb="12">
            <t>カンガ</t>
          </rPh>
          <rPh sb="17" eb="19">
            <t>キュウヨ</t>
          </rPh>
          <rPh sb="19" eb="21">
            <t>ホウホウ</t>
          </rPh>
          <rPh sb="22" eb="23">
            <t>オシ</t>
          </rPh>
          <phoneticPr fontId="9"/>
        </is>
      </c>
      <c r="I13" s="13" t="inlineStr">
        <is>
          <t>当部で実施した試験の給与事例資料を提供した。</t>
          <rPh sb="0" eb="2">
            <t>トウブ</t>
          </rPh>
          <rPh sb="3" eb="5">
            <t>ジッシ</t>
          </rPh>
          <rPh sb="7" eb="9">
            <t>シケン</t>
          </rPh>
          <rPh sb="10" eb="14">
            <t>キュウヨジレイ</t>
          </rPh>
          <rPh sb="14" eb="16">
            <t>シリョウ</t>
          </rPh>
          <rPh sb="17" eb="19">
            <t>テイキョウ</t>
          </rPh>
          <phoneticPr fontId="9"/>
        </is>
      </c>
      <c r="J13" s="41">
        <v>2</v>
      </c>
      <c r="K13" s="34" t="inlineStr">
        <is>
          <t>無</t>
          <rPh sb="0" eb="1">
            <t>ナ</t>
          </rPh>
          <phoneticPr fontId="12"/>
        </is>
      </c>
      <c r="L13" s="82">
        <v>1</v>
      </c>
      <c r="M13" s="83"/>
      <c r="N13" s="83"/>
      <c r="O13" s="84"/>
    </row>
    <row r="14" spans="1:15" ht="43.5" customHeight="1">
      <c r="A14" s="17">
        <v>6</v>
      </c>
      <c r="B14" s="40">
        <v>45762</v>
      </c>
      <c r="C14" s="40" t="inlineStr">
        <is>
          <t>水総研</t>
        </is>
      </c>
      <c r="D14" s="12"/>
      <c r="E14" s="38" t="inlineStr">
        <is>
          <t>メール</t>
        </is>
      </c>
      <c r="F14" s="13" t="inlineStr">
        <is>
          <t>○○漁協
○○氏</t>
          <rPh sb="2" eb="4">
            <t>ギョキョウ</t>
          </rPh>
          <rPh sb="7" eb="8">
            <t>シ</t>
          </rPh>
          <phoneticPr fontId="12"/>
        </is>
      </c>
      <c r="G14" s="13" t="inlineStr">
        <is>
          <t>青森市</t>
        </is>
      </c>
      <c r="H14" s="13" t="inlineStr">
        <is>
          <t>1月の漁獲状況について、サバ・タコが低調、マダラが好調な要因について</t>
          <rPh sb="18" eb="20">
            <t>テイチョウ</t>
          </rPh>
          <rPh sb="25" eb="27">
            <t>コウチョウ</t>
          </rPh>
          <phoneticPr fontId="10"/>
        </is>
      </c>
      <c r="I14" s="13" t="inlineStr">
        <is>
          <t>該当魚種の資源状況、海況との関係等を説明した。</t>
          <rPh sb="0" eb="4">
            <t>ガイトウギョシュ</t>
          </rPh>
          <rPh sb="5" eb="7">
            <t>シゲン</t>
          </rPh>
          <rPh sb="7" eb="9">
            <t>ジョウキョウ</t>
          </rPh>
          <rPh sb="10" eb="12">
            <t>カイキョウ</t>
          </rPh>
          <rPh sb="14" eb="16">
            <t>カンケイ</t>
          </rPh>
          <rPh sb="16" eb="17">
            <t>トウ</t>
          </rPh>
          <rPh sb="18" eb="20">
            <t>セツメイ</t>
          </rPh>
          <phoneticPr fontId="2"/>
        </is>
      </c>
      <c r="J14" s="41">
        <v>1</v>
      </c>
      <c r="K14" s="34" t="inlineStr">
        <is>
          <t>無</t>
        </is>
      </c>
      <c r="L14" s="82">
        <v>1</v>
      </c>
      <c r="M14" s="83"/>
      <c r="N14" s="83"/>
      <c r="O14" s="84"/>
    </row>
    <row r="15" spans="1:15" ht="43.5" customHeight="1">
      <c r="A15" s="17">
        <v>7</v>
      </c>
      <c r="B15" s="40">
        <v>45763</v>
      </c>
      <c r="C15" s="40" t="inlineStr">
        <is>
          <t>食総研</t>
        </is>
      </c>
      <c r="D15" s="12"/>
      <c r="E15" s="38" t="inlineStr">
        <is>
          <t>来所</t>
        </is>
      </c>
      <c r="F15" s="28" t="inlineStr">
        <is>
          <t>○○株式会社
○○氏</t>
          <rPh sb="2" eb="6">
            <t>カブシキカイシャ</t>
          </rPh>
          <rPh sb="9" eb="10">
            <t>シ</t>
          </rPh>
          <phoneticPr fontId="12"/>
        </is>
      </c>
      <c r="G15" s="13" t="inlineStr">
        <is>
          <t>○○市</t>
          <rPh sb="2" eb="3">
            <t>シ</t>
          </rPh>
          <phoneticPr fontId="12"/>
        </is>
      </c>
      <c r="H15" s="13" t="inlineStr">
        <is>
          <t>マダラ肝臓に含まれる成分と加工特性について</t>
        </is>
      </c>
      <c r="I15" s="13" t="inlineStr">
        <is>
          <t>レシピ等情報提供</t>
        </is>
      </c>
      <c r="J15" s="12">
        <v>3</v>
      </c>
      <c r="K15" s="34" t="inlineStr">
        <is>
          <t>無</t>
        </is>
      </c>
      <c r="L15" s="82">
        <v>1</v>
      </c>
      <c r="M15" s="83"/>
      <c r="N15" s="83"/>
      <c r="O15" s="84"/>
    </row>
    <row r="16" spans="1:15" ht="43.5" customHeight="1">
      <c r="A16" s="17">
        <v>8</v>
      </c>
      <c r="B16" s="39"/>
      <c r="C16" s="39"/>
      <c r="D16" s="12"/>
      <c r="E16" s="38"/>
      <c r="F16" s="28"/>
      <c r="G16" s="13"/>
      <c r="H16" s="13"/>
      <c r="I16" s="13"/>
      <c r="J16" s="12"/>
      <c r="K16" s="34"/>
      <c r="L16" s="82"/>
      <c r="M16" s="83"/>
      <c r="N16" s="83"/>
      <c r="O16" s="84"/>
    </row>
    <row r="17" spans="1:15" ht="43.5" customHeight="1">
      <c r="A17" s="17">
        <v>9</v>
      </c>
      <c r="B17" s="39"/>
      <c r="C17" s="39"/>
      <c r="D17" s="12"/>
      <c r="E17" s="38"/>
      <c r="F17" s="13"/>
      <c r="G17" s="13"/>
      <c r="H17" s="13"/>
      <c r="I17" s="13"/>
      <c r="J17" s="12"/>
      <c r="K17" s="34"/>
      <c r="L17" s="82"/>
      <c r="M17" s="83"/>
      <c r="N17" s="83"/>
      <c r="O17" s="84"/>
    </row>
    <row r="18" spans="1:15" ht="43.5" customHeight="1">
      <c r="A18" s="17">
        <v>10</v>
      </c>
      <c r="B18" s="39"/>
      <c r="C18" s="39"/>
      <c r="D18" s="12"/>
      <c r="E18" s="38"/>
      <c r="F18" s="13"/>
      <c r="G18" s="13"/>
      <c r="H18" s="13"/>
      <c r="I18" s="13"/>
      <c r="J18" s="12"/>
      <c r="K18" s="34"/>
      <c r="L18" s="82"/>
      <c r="M18" s="83"/>
      <c r="N18" s="83"/>
      <c r="O18" s="84"/>
    </row>
    <row r="19" spans="1:15" ht="43.5" customHeight="1">
      <c r="A19" s="17">
        <v>11</v>
      </c>
      <c r="B19" s="39"/>
      <c r="C19" s="39"/>
      <c r="D19" s="12"/>
      <c r="E19" s="38"/>
      <c r="F19" s="28"/>
      <c r="G19" s="13"/>
      <c r="H19" s="13"/>
      <c r="I19" s="13"/>
      <c r="J19" s="12"/>
      <c r="K19" s="34"/>
      <c r="L19" s="82"/>
      <c r="M19" s="83"/>
      <c r="N19" s="83"/>
      <c r="O19" s="84"/>
    </row>
    <row r="20" spans="1:15" ht="44.25" customHeight="1">
      <c r="A20" s="17">
        <v>12</v>
      </c>
      <c r="B20" s="39"/>
      <c r="C20" s="39"/>
      <c r="D20" s="12"/>
      <c r="E20" s="38"/>
      <c r="F20" s="28"/>
      <c r="G20" s="13"/>
      <c r="H20" s="13"/>
      <c r="I20" s="13"/>
      <c r="J20" s="12"/>
      <c r="K20" s="34"/>
      <c r="L20" s="82"/>
      <c r="M20" s="83"/>
      <c r="N20" s="83"/>
      <c r="O20" s="84"/>
    </row>
    <row r="21" spans="1:15" ht="42" customHeight="1">
      <c r="A21" s="17">
        <v>13</v>
      </c>
      <c r="B21" s="39"/>
      <c r="C21" s="39"/>
      <c r="D21" s="12"/>
      <c r="E21" s="38"/>
      <c r="F21" s="13"/>
      <c r="G21" s="13"/>
      <c r="H21" s="13"/>
      <c r="I21" s="13"/>
      <c r="J21" s="12"/>
      <c r="K21" s="34"/>
      <c r="L21" s="82"/>
      <c r="M21" s="83"/>
      <c r="N21" s="83"/>
      <c r="O21" s="84"/>
    </row>
    <row r="22" spans="1:15" ht="43.25" customHeight="1">
      <c r="A22" s="17">
        <v>14</v>
      </c>
      <c r="B22" s="39"/>
      <c r="C22" s="39"/>
      <c r="D22" s="12"/>
      <c r="E22" s="38"/>
      <c r="F22" s="13"/>
      <c r="G22" s="13"/>
      <c r="H22" s="13"/>
      <c r="I22" s="13"/>
      <c r="J22" s="12"/>
      <c r="K22" s="34"/>
      <c r="L22" s="118"/>
      <c r="M22" s="119"/>
      <c r="N22" s="119"/>
      <c r="O22" s="120"/>
    </row>
    <row r="23" spans="1:15" ht="40" customHeight="1">
      <c r="A23" s="17">
        <v>15</v>
      </c>
      <c r="B23" s="39"/>
      <c r="C23" s="39"/>
      <c r="D23" s="12"/>
      <c r="E23" s="38"/>
      <c r="F23" s="13"/>
      <c r="G23" s="13"/>
      <c r="H23" s="13"/>
      <c r="I23" s="13"/>
      <c r="J23" s="12"/>
      <c r="K23" s="34"/>
      <c r="L23" s="82"/>
      <c r="M23" s="83"/>
      <c r="N23" s="83"/>
      <c r="O23" s="84"/>
    </row>
    <row r="24" spans="1:15" ht="38.25" customHeight="1" thickBot="1">
      <c r="A24" s="17">
        <v>16</v>
      </c>
      <c r="B24" s="39"/>
      <c r="C24" s="39"/>
      <c r="D24" s="12"/>
      <c r="E24" s="38"/>
      <c r="F24" s="13"/>
      <c r="G24" s="13"/>
      <c r="H24" s="13"/>
      <c r="I24" s="13"/>
      <c r="J24" s="12"/>
      <c r="K24" s="34"/>
      <c r="L24" s="85"/>
      <c r="M24" s="86"/>
      <c r="N24" s="86"/>
      <c r="O24" s="87"/>
    </row>
    <row r="25" spans="1:15" ht="26.25" customHeight="1">
      <c r="A25" s="49"/>
      <c r="E25" s="62">
        <f>COUNTA(E9:E24)</f>
        <v>7</v>
      </c>
      <c r="J25" s="124">
        <f>SUM(J9:J24)</f>
        <v>14</v>
      </c>
    </row>
    <row r="27" spans="1:15" ht="16" thickBot="1">
      <c r="B27" s="134" t="inlineStr">
        <is>
          <t>＜相談件数＞</t>
          <rPh sb="1" eb="3">
            <t>ソウダン</t>
          </rPh>
          <rPh sb="3" eb="5">
            <t>ケンスウ</t>
          </rPh>
          <phoneticPr fontId="12"/>
        </is>
      </c>
      <c r="I27" s="134" t="inlineStr">
        <is>
          <t>＜応答回数＞</t>
          <rPh sb="1" eb="3">
            <t>オウトウ</t>
          </rPh>
          <rPh sb="3" eb="5">
            <t>カイスウ</t>
          </rPh>
          <phoneticPr fontId="12"/>
        </is>
      </c>
    </row>
    <row r="28" spans="1:15">
      <c r="B28" s="57" t="inlineStr">
        <is>
          <t>工総研</t>
        </is>
      </c>
      <c r="C28" s="54">
        <f>COUNTIF($C$9:$C$24,B28)</f>
        <v>1</v>
      </c>
      <c r="D28" s="51" t="inlineStr">
        <is>
          <t>電話</t>
        </is>
      </c>
      <c r="E28" s="45">
        <f>COUNTIF($E$9:$E$24,D28)</f>
        <v>1</v>
      </c>
      <c r="I28" s="46" t="inlineStr">
        <is>
          <t>工総研</t>
        </is>
      </c>
      <c r="J28" s="46">
        <f>SUMIF($C$9:$C$24,I28,$J$9:$J$24)</f>
        <v>2</v>
      </c>
      <c r="K28" s="17" t="inlineStr">
        <is>
          <t>電話</t>
        </is>
      </c>
      <c r="L28" s="45">
        <f>SUMIF($E$9:$E$24,K28,$J$9:$J$24)</f>
        <v>4</v>
      </c>
    </row>
    <row r="29" spans="1:15">
      <c r="B29" s="130" t="inlineStr">
        <is>
          <t>弘工研</t>
        </is>
      </c>
      <c r="C29" s="45">
        <f t="shared" ref="C29:C40" si="0">COUNTIF($C$9:$C$24,B29)</f>
        <v>0</v>
      </c>
      <c r="D29" s="51" t="inlineStr">
        <is>
          <t>メール</t>
        </is>
      </c>
      <c r="E29" s="45">
        <f t="shared" ref="E29:E34" si="1">COUNTIF($E$9:$E$24,D29)</f>
        <v>3</v>
      </c>
      <c r="I29" s="46" t="inlineStr">
        <is>
          <t>弘工研</t>
        </is>
      </c>
      <c r="J29" s="46">
        <f t="shared" ref="J29:J40" si="2">SUMIF($C$9:$C$24,I29,$J$9:$J$24)</f>
        <v>0</v>
      </c>
      <c r="K29" s="17" t="inlineStr">
        <is>
          <t>メール</t>
        </is>
      </c>
      <c r="L29" s="45">
        <f t="shared" ref="L29:L34" si="3">SUMIF($E$9:$E$24,K29,$J$9:$J$24)</f>
        <v>4</v>
      </c>
    </row>
    <row r="30" spans="1:15">
      <c r="B30" s="130" t="inlineStr">
        <is>
          <t>八工研</t>
        </is>
      </c>
      <c r="C30" s="45">
        <f t="shared" si="0"/>
        <v>0</v>
      </c>
      <c r="D30" s="51" t="inlineStr">
        <is>
          <t>来所</t>
        </is>
      </c>
      <c r="E30" s="45">
        <f t="shared" si="1"/>
        <v>2</v>
      </c>
      <c r="I30" s="46" t="inlineStr">
        <is>
          <t>八工研</t>
        </is>
      </c>
      <c r="J30" s="46">
        <f t="shared" si="2"/>
        <v>0</v>
      </c>
      <c r="K30" s="17" t="inlineStr">
        <is>
          <t>来所</t>
        </is>
      </c>
      <c r="L30" s="45">
        <f t="shared" si="3"/>
        <v>4</v>
      </c>
    </row>
    <row r="31" spans="1:15">
      <c r="B31" s="131" t="inlineStr">
        <is>
          <t>農総研</t>
        </is>
      </c>
      <c r="C31" s="45">
        <f t="shared" si="0"/>
        <v>2</v>
      </c>
      <c r="D31" s="51" t="inlineStr">
        <is>
          <t>現場</t>
        </is>
      </c>
      <c r="E31" s="45">
        <f t="shared" si="1"/>
        <v>1</v>
      </c>
      <c r="I31" s="35" t="inlineStr">
        <is>
          <t>農総研</t>
        </is>
      </c>
      <c r="J31" s="35">
        <f t="shared" si="2"/>
        <v>5</v>
      </c>
      <c r="K31" s="17" t="inlineStr">
        <is>
          <t>現場</t>
        </is>
      </c>
      <c r="L31" s="45">
        <f t="shared" si="3"/>
        <v>2</v>
      </c>
    </row>
    <row r="32" spans="1:15">
      <c r="B32" s="131" t="inlineStr">
        <is>
          <t>野菜研</t>
        </is>
      </c>
      <c r="C32" s="4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131" t="inlineStr">
        <is>
          <t>りんご研</t>
        </is>
      </c>
      <c r="C33" s="45">
        <f t="shared" si="0"/>
        <v>1</v>
      </c>
      <c r="D33" s="51" t="inlineStr">
        <is>
          <t>Web</t>
          <phoneticPr fontId="12"/>
        </is>
      </c>
      <c r="E33" s="45">
        <f t="shared" si="1"/>
        <v>0</v>
      </c>
      <c r="I33" s="35" t="inlineStr">
        <is>
          <t>りんご研</t>
        </is>
      </c>
      <c r="J33" s="35">
        <f t="shared" si="2"/>
        <v>1</v>
      </c>
      <c r="K33" s="17" t="inlineStr">
        <is>
          <t>Web</t>
          <phoneticPr fontId="12"/>
        </is>
      </c>
      <c r="L33" s="45">
        <f t="shared" si="3"/>
        <v>0</v>
      </c>
    </row>
    <row r="34" spans="2:12">
      <c r="B34" s="131" t="inlineStr">
        <is>
          <t>畜産研</t>
        </is>
      </c>
      <c r="C34" s="45">
        <f t="shared" si="0"/>
        <v>1</v>
      </c>
      <c r="D34" s="51" t="inlineStr">
        <is>
          <t>その他</t>
        </is>
      </c>
      <c r="E34" s="45">
        <f t="shared" si="1"/>
        <v>0</v>
      </c>
      <c r="I34" s="35" t="inlineStr">
        <is>
          <t>畜産研</t>
        </is>
      </c>
      <c r="J34" s="35">
        <f t="shared" si="2"/>
        <v>2</v>
      </c>
      <c r="K34" s="17" t="inlineStr">
        <is>
          <t>その他</t>
        </is>
      </c>
      <c r="L34" s="45">
        <f t="shared" si="3"/>
        <v>0</v>
      </c>
    </row>
    <row r="35" spans="2:12">
      <c r="B35" s="131" t="inlineStr">
        <is>
          <t>林業研</t>
        </is>
      </c>
      <c r="C35" s="45">
        <f t="shared" si="0"/>
        <v>0</v>
      </c>
      <c r="D35" s="51"/>
      <c r="E35" s="45"/>
      <c r="I35" s="35" t="inlineStr">
        <is>
          <t>林業研</t>
        </is>
      </c>
      <c r="J35" s="35">
        <f t="shared" si="2"/>
        <v>0</v>
      </c>
      <c r="K35" s="17"/>
      <c r="L35" s="45"/>
    </row>
    <row r="36" spans="2:12">
      <c r="B36" s="132" t="inlineStr">
        <is>
          <t>水総研</t>
        </is>
      </c>
      <c r="C36" s="45">
        <f t="shared" si="0"/>
        <v>1</v>
      </c>
      <c r="D36" s="51"/>
      <c r="E36" s="45"/>
      <c r="I36" s="47" t="inlineStr">
        <is>
          <t>水総研</t>
        </is>
      </c>
      <c r="J36" s="47">
        <f t="shared" si="2"/>
        <v>1</v>
      </c>
      <c r="K36" s="17"/>
      <c r="L36" s="45"/>
    </row>
    <row r="37" spans="2:12">
      <c r="B37" s="132" t="inlineStr">
        <is>
          <t>内水研</t>
        </is>
      </c>
      <c r="C37" s="45">
        <f t="shared" si="0"/>
        <v>0</v>
      </c>
      <c r="D37" s="51"/>
      <c r="E37" s="45"/>
      <c r="I37" s="47" t="inlineStr">
        <is>
          <t>内水研</t>
        </is>
      </c>
      <c r="J37" s="47">
        <f t="shared" si="2"/>
        <v>0</v>
      </c>
      <c r="K37" s="17"/>
      <c r="L37" s="45"/>
    </row>
    <row r="38" spans="2:12">
      <c r="B38" s="133" t="inlineStr">
        <is>
          <t>食総研</t>
        </is>
      </c>
      <c r="C38" s="45">
        <f t="shared" si="0"/>
        <v>1</v>
      </c>
      <c r="D38" s="51"/>
      <c r="E38" s="45"/>
      <c r="I38" s="78" t="inlineStr">
        <is>
          <t>食総研</t>
        </is>
      </c>
      <c r="J38" s="78">
        <f t="shared" si="2"/>
        <v>3</v>
      </c>
      <c r="K38" s="17"/>
      <c r="L38" s="45"/>
    </row>
    <row r="39" spans="2:12">
      <c r="B39" s="133" t="inlineStr">
        <is>
          <t>下北研</t>
        </is>
      </c>
      <c r="C39" s="45">
        <f t="shared" si="0"/>
        <v>0</v>
      </c>
      <c r="D39" s="51"/>
      <c r="E39" s="45"/>
      <c r="I39" s="78" t="inlineStr">
        <is>
          <t>下北研</t>
        </is>
      </c>
      <c r="J39" s="78">
        <f t="shared" si="2"/>
        <v>0</v>
      </c>
      <c r="K39" s="17"/>
      <c r="L39" s="45"/>
    </row>
    <row r="40" spans="2:12">
      <c r="B40" s="133" t="inlineStr">
        <is>
          <t>農加研</t>
        </is>
      </c>
      <c r="C40" s="45">
        <f t="shared" si="0"/>
        <v>0</v>
      </c>
      <c r="D40" s="51"/>
      <c r="E40" s="45"/>
      <c r="I40" s="78" t="inlineStr">
        <is>
          <t>農加研</t>
        </is>
      </c>
      <c r="J40" s="78">
        <f t="shared" si="2"/>
        <v>0</v>
      </c>
      <c r="K40" s="17"/>
      <c r="L40" s="45"/>
    </row>
    <row r="41" spans="2:12">
      <c r="B41" s="52" t="inlineStr">
        <is>
          <t>計</t>
          <rPh sb="0" eb="1">
            <t>ケイ</t>
          </rPh>
          <phoneticPr fontId="12"/>
        </is>
      </c>
      <c r="C41" s="53">
        <f>SUM(C28:C40)</f>
        <v>7</v>
      </c>
      <c r="D41" s="29" t="inlineStr">
        <is>
          <t>計</t>
          <rPh sb="0" eb="1">
            <t>ケイ</t>
          </rPh>
          <phoneticPr fontId="12"/>
        </is>
      </c>
      <c r="E41" s="50">
        <f>SUM(E28:E40)</f>
        <v>7</v>
      </c>
      <c r="I41" s="121" t="inlineStr">
        <is>
          <t>計</t>
        </is>
      </c>
      <c r="J41" s="121">
        <f>SUM(J28:J40)</f>
        <v>14</v>
      </c>
      <c r="K41" s="122" t="inlineStr">
        <is>
          <t>計</t>
          <rPh sb="0" eb="1">
            <t>ケイ</t>
          </rPh>
          <phoneticPr fontId="12"/>
        </is>
      </c>
      <c r="L41" s="123">
        <f>SUM(L28:L40)</f>
        <v>14</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disablePrompts="1" count="1">
    <dataValidation type="list" allowBlank="1" showInputMessage="1" showErrorMessage="1" sqref="E9:E24" xr:uid="{D80825D1-D3E3-4BBF-A739-504475878C80}">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509F-C0FA-4242-AA08-001CA9B9E8B3}">
  <sheetPr>
    <tabColor rgb="FFFF0000"/>
    <pageSetUpPr fitToPage="1"/>
  </sheetPr>
  <dimension ref="A1:O40"/>
  <sheetViews>
    <sheetView view="pageBreakPreview" zoomScaleNormal="80" zoomScaleSheetLayoutView="100" workbookViewId="0">
      <selection activeCell="H13" sqref="H13"/>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3"/>
      <c r="H9" s="18"/>
      <c r="I9" s="18"/>
      <c r="J9" s="12"/>
      <c r="K9" s="34"/>
      <c r="L9" s="82"/>
      <c r="M9" s="83"/>
      <c r="N9" s="83"/>
      <c r="O9" s="84"/>
    </row>
    <row r="10" spans="1:15" ht="41.25" customHeight="1">
      <c r="A10" s="17"/>
      <c r="B10" s="40"/>
      <c r="C10" s="40"/>
      <c r="D10" s="12"/>
      <c r="E10" s="38"/>
      <c r="F10" s="13"/>
      <c r="G10" s="13"/>
      <c r="H10" s="13"/>
      <c r="I10" s="13"/>
      <c r="J10" s="12"/>
      <c r="K10" s="34"/>
      <c r="L10" s="82"/>
      <c r="M10" s="83"/>
      <c r="N10" s="83"/>
      <c r="O10" s="84"/>
    </row>
    <row r="11" spans="1:15">
      <c r="A11" s="17"/>
      <c r="B11" s="40"/>
      <c r="C11" s="40"/>
      <c r="D11" s="12"/>
      <c r="E11" s="38"/>
      <c r="F11" s="13"/>
      <c r="G11" s="13"/>
      <c r="H11" s="13"/>
      <c r="I11" s="13"/>
      <c r="J11" s="12"/>
      <c r="K11" s="34"/>
      <c r="L11" s="82"/>
      <c r="M11" s="83"/>
      <c r="N11" s="83"/>
      <c r="O11" s="136"/>
    </row>
    <row r="12" spans="1:15" ht="43.5" customHeight="1">
      <c r="A12" s="17"/>
      <c r="B12" s="40"/>
      <c r="C12" s="40"/>
      <c r="D12" s="12"/>
      <c r="E12" s="38"/>
      <c r="F12" s="13"/>
      <c r="G12" s="13"/>
      <c r="H12" s="13"/>
      <c r="I12" s="13"/>
      <c r="J12" s="12"/>
      <c r="K12" s="34"/>
      <c r="L12" s="82"/>
      <c r="M12" s="83"/>
      <c r="N12" s="83"/>
      <c r="O12" s="84"/>
    </row>
    <row r="13" spans="1:15" ht="43.5" customHeight="1">
      <c r="A13" s="17"/>
      <c r="B13" s="40"/>
      <c r="C13" s="40"/>
      <c r="D13" s="12"/>
      <c r="E13" s="38"/>
      <c r="F13" s="13"/>
      <c r="G13" s="13"/>
      <c r="H13" s="13"/>
      <c r="I13" s="13"/>
      <c r="J13" s="12"/>
      <c r="K13" s="34"/>
      <c r="L13" s="82"/>
      <c r="M13" s="83"/>
      <c r="N13" s="83"/>
      <c r="O13" s="84"/>
    </row>
    <row r="14" spans="1:15" ht="43.5" customHeight="1">
      <c r="A14" s="17"/>
      <c r="B14" s="40"/>
      <c r="C14" s="40"/>
      <c r="D14" s="12"/>
      <c r="E14" s="38"/>
      <c r="F14" s="13"/>
      <c r="G14" s="13"/>
      <c r="H14" s="13"/>
      <c r="I14" s="13"/>
      <c r="J14" s="12"/>
      <c r="K14" s="34"/>
      <c r="L14" s="82"/>
      <c r="M14" s="83"/>
      <c r="N14" s="83"/>
      <c r="O14" s="84"/>
    </row>
    <row r="15" spans="1:15" ht="43.5" customHeight="1">
      <c r="A15" s="17"/>
      <c r="B15" s="40"/>
      <c r="C15" s="40"/>
      <c r="D15" s="12"/>
      <c r="E15" s="38"/>
      <c r="F15" s="13"/>
      <c r="G15" s="13"/>
      <c r="H15" s="13"/>
      <c r="I15" s="13"/>
      <c r="J15" s="12"/>
      <c r="K15" s="34"/>
      <c r="L15" s="82"/>
      <c r="M15" s="83"/>
      <c r="N15" s="83"/>
      <c r="O15" s="136"/>
    </row>
    <row r="16" spans="1:15" ht="43.5" customHeight="1">
      <c r="A16" s="17"/>
      <c r="B16" s="40"/>
      <c r="C16" s="40"/>
      <c r="D16" s="12"/>
      <c r="E16" s="38"/>
      <c r="F16" s="28"/>
      <c r="G16" s="13"/>
      <c r="H16" s="13"/>
      <c r="I16" s="13"/>
      <c r="J16" s="12"/>
      <c r="K16" s="34"/>
      <c r="L16" s="82"/>
      <c r="M16" s="83"/>
      <c r="N16" s="83"/>
      <c r="O16" s="84"/>
    </row>
    <row r="17" spans="1:15" ht="43.5" customHeight="1">
      <c r="A17" s="17"/>
      <c r="B17" s="40"/>
      <c r="C17" s="40"/>
      <c r="D17" s="12"/>
      <c r="E17" s="38"/>
      <c r="F17" s="28"/>
      <c r="G17" s="13"/>
      <c r="H17" s="13"/>
      <c r="I17" s="13"/>
      <c r="J17" s="12"/>
      <c r="K17" s="34"/>
      <c r="L17" s="82"/>
      <c r="M17" s="83"/>
      <c r="N17" s="83"/>
      <c r="O17" s="84"/>
    </row>
    <row r="18" spans="1:15" ht="43.5" customHeight="1">
      <c r="A18" s="17"/>
      <c r="B18" s="40"/>
      <c r="C18" s="40"/>
      <c r="D18" s="12"/>
      <c r="E18" s="38"/>
      <c r="F18" s="13"/>
      <c r="G18" s="13"/>
      <c r="H18" s="13"/>
      <c r="I18" s="13"/>
      <c r="J18" s="12"/>
      <c r="K18" s="34"/>
      <c r="L18" s="82"/>
      <c r="M18" s="83"/>
      <c r="N18" s="83"/>
      <c r="O18" s="84"/>
    </row>
    <row r="19" spans="1:15" ht="43.5" customHeight="1">
      <c r="A19" s="17"/>
      <c r="B19" s="40"/>
      <c r="C19" s="40"/>
      <c r="D19" s="12"/>
      <c r="E19" s="38"/>
      <c r="F19" s="13"/>
      <c r="G19" s="13"/>
      <c r="H19" s="13"/>
      <c r="I19" s="13"/>
      <c r="J19" s="12"/>
      <c r="K19" s="34"/>
      <c r="L19" s="82"/>
      <c r="M19" s="83"/>
      <c r="N19" s="83"/>
      <c r="O19" s="84"/>
    </row>
    <row r="20" spans="1:15" ht="43.5" customHeight="1">
      <c r="A20" s="17"/>
      <c r="B20" s="40"/>
      <c r="C20" s="40"/>
      <c r="D20" s="12"/>
      <c r="E20" s="38"/>
      <c r="F20" s="28"/>
      <c r="G20" s="13"/>
      <c r="H20" s="13"/>
      <c r="I20" s="13"/>
      <c r="J20" s="12"/>
      <c r="K20" s="34"/>
      <c r="L20" s="82"/>
      <c r="M20" s="83"/>
      <c r="N20" s="83"/>
      <c r="O20" s="136"/>
    </row>
    <row r="21" spans="1:15" ht="44.25" customHeight="1">
      <c r="A21" s="17"/>
      <c r="B21" s="40"/>
      <c r="C21" s="40"/>
      <c r="D21" s="12"/>
      <c r="E21" s="38"/>
      <c r="F21" s="13"/>
      <c r="G21" s="13"/>
      <c r="H21" s="13"/>
      <c r="I21" s="13"/>
      <c r="J21" s="12"/>
      <c r="K21" s="34"/>
      <c r="L21" s="82"/>
      <c r="M21" s="83"/>
      <c r="N21" s="83"/>
      <c r="O21" s="136"/>
    </row>
    <row r="22" spans="1:15">
      <c r="A22" s="17"/>
      <c r="B22" s="40"/>
      <c r="C22" s="40"/>
      <c r="D22" s="12"/>
      <c r="E22" s="38"/>
      <c r="F22" s="13"/>
      <c r="G22" s="13"/>
      <c r="H22" s="13"/>
      <c r="I22" s="13"/>
      <c r="J22" s="12"/>
      <c r="K22" s="34"/>
      <c r="L22" s="82"/>
      <c r="M22" s="83"/>
      <c r="N22" s="83"/>
      <c r="O22" s="136"/>
    </row>
    <row r="23" spans="1:15">
      <c r="A23" s="17"/>
      <c r="B23" s="40"/>
      <c r="C23" s="40"/>
      <c r="D23" s="12"/>
      <c r="E23" s="38"/>
      <c r="F23" s="13"/>
      <c r="G23" s="13"/>
      <c r="H23" s="13"/>
      <c r="I23" s="13"/>
      <c r="J23" s="12"/>
      <c r="K23" s="34"/>
      <c r="L23" s="118"/>
      <c r="M23" s="119"/>
      <c r="N23" s="119"/>
      <c r="O23" s="137"/>
    </row>
    <row r="24" spans="1:15" ht="26.25" customHeight="1">
      <c r="A24" s="49"/>
      <c r="E24" s="62">
        <f>SUM(E9:E23)</f>
        <v>0</v>
      </c>
      <c r="J24" s="124">
        <f>SUM(J9:J23)</f>
        <v>0</v>
      </c>
    </row>
    <row r="26" spans="1:15" ht="15" thickBot="1">
      <c r="B26" s="63" t="inlineStr">
        <is>
          <t>相談件数</t>
          <rPh sb="0" eb="2">
            <t>ソウダン</t>
          </rPh>
          <rPh sb="2" eb="4">
            <t>ケンスウ</t>
          </rPh>
          <phoneticPr fontId="12"/>
        </is>
      </c>
      <c r="I26" s="63" t="inlineStr">
        <is>
          <t>応答回数</t>
          <rPh sb="0" eb="2">
            <t>オウトウ</t>
          </rPh>
          <rPh sb="2" eb="4">
            <t>カイスウ</t>
          </rPh>
          <phoneticPr fontId="12"/>
        </is>
      </c>
    </row>
    <row r="27" spans="1:15">
      <c r="B27" s="57" t="inlineStr">
        <is>
          <t>工総研</t>
        </is>
      </c>
      <c r="C27" s="54">
        <f t="shared" ref="C27:C39" si="0">COUNTIF($C$9:$C$23,B27)</f>
        <v>0</v>
      </c>
      <c r="D27" s="51" t="inlineStr">
        <is>
          <t>電話</t>
        </is>
      </c>
      <c r="E27" s="45">
        <f t="shared" ref="E27:E33" si="1">COUNTIF($E$9:$E$23,D27)</f>
        <v>0</v>
      </c>
      <c r="I27" s="46" t="inlineStr">
        <is>
          <t>工総研</t>
        </is>
      </c>
      <c r="J27" s="46">
        <f t="shared" ref="J27:J39" si="2">SUMIF($C$9:$C$23,I27,$J$9:$J$23)</f>
        <v>0</v>
      </c>
      <c r="K27" s="17" t="inlineStr">
        <is>
          <t>電話</t>
        </is>
      </c>
      <c r="L27" s="45">
        <f t="shared" ref="L27:L33" si="3">SUMIF($E$9:$E$23,K27,$J$9:$J$23)</f>
        <v>0</v>
      </c>
    </row>
    <row r="28" spans="1:15">
      <c r="B28" s="58" t="inlineStr">
        <is>
          <t>弘工研</t>
        </is>
      </c>
      <c r="C28" s="55">
        <f t="shared" si="0"/>
        <v>0</v>
      </c>
      <c r="D28" s="51" t="inlineStr">
        <is>
          <t>メール</t>
        </is>
      </c>
      <c r="E28" s="45">
        <f t="shared" si="1"/>
        <v>0</v>
      </c>
      <c r="I28" s="46" t="inlineStr">
        <is>
          <t>弘工研</t>
        </is>
      </c>
      <c r="J28" s="46">
        <f t="shared" si="2"/>
        <v>0</v>
      </c>
      <c r="K28" s="17" t="inlineStr">
        <is>
          <t>メール</t>
        </is>
      </c>
      <c r="L28" s="45">
        <f t="shared" si="3"/>
        <v>0</v>
      </c>
    </row>
    <row r="29" spans="1:15" ht="15" thickBot="1">
      <c r="B29" s="59" t="inlineStr">
        <is>
          <t>八工研</t>
        </is>
      </c>
      <c r="C29" s="56">
        <f t="shared" si="0"/>
        <v>0</v>
      </c>
      <c r="D29" s="51" t="inlineStr">
        <is>
          <t>来所</t>
        </is>
      </c>
      <c r="E29" s="45">
        <f t="shared" si="1"/>
        <v>0</v>
      </c>
      <c r="I29" s="46" t="inlineStr">
        <is>
          <t>八工研</t>
        </is>
      </c>
      <c r="J29" s="46">
        <f t="shared" si="2"/>
        <v>0</v>
      </c>
      <c r="K29" s="17" t="inlineStr">
        <is>
          <t>来所</t>
        </is>
      </c>
      <c r="L29" s="45">
        <f t="shared" si="3"/>
        <v>0</v>
      </c>
    </row>
    <row r="30" spans="1:15">
      <c r="B30" s="74" t="inlineStr">
        <is>
          <t>農総研</t>
        </is>
      </c>
      <c r="C30" s="54">
        <f t="shared" si="0"/>
        <v>0</v>
      </c>
      <c r="D30" s="51" t="inlineStr">
        <is>
          <t>現場</t>
        </is>
      </c>
      <c r="E30" s="45">
        <f t="shared" si="1"/>
        <v>0</v>
      </c>
      <c r="I30" s="35" t="inlineStr">
        <is>
          <t>農総研</t>
        </is>
      </c>
      <c r="J30" s="35">
        <f t="shared" si="2"/>
        <v>0</v>
      </c>
      <c r="K30" s="17" t="inlineStr">
        <is>
          <t>現場</t>
        </is>
      </c>
      <c r="L30" s="45">
        <f t="shared" si="3"/>
        <v>0</v>
      </c>
    </row>
    <row r="31" spans="1:15">
      <c r="B31" s="36" t="inlineStr">
        <is>
          <t>野菜研</t>
        </is>
      </c>
      <c r="C31" s="55">
        <f t="shared" si="0"/>
        <v>0</v>
      </c>
      <c r="D31" s="51" t="inlineStr">
        <is>
          <t>FAX</t>
          <phoneticPr fontId="12"/>
        </is>
      </c>
      <c r="E31" s="45">
        <f t="shared" si="1"/>
        <v>0</v>
      </c>
      <c r="I31" s="35" t="inlineStr">
        <is>
          <t>野菜研</t>
        </is>
      </c>
      <c r="J31" s="35">
        <f t="shared" si="2"/>
        <v>0</v>
      </c>
      <c r="K31" s="17" t="inlineStr">
        <is>
          <t>FAX</t>
          <phoneticPr fontId="12"/>
        </is>
      </c>
      <c r="L31" s="45">
        <f t="shared" si="3"/>
        <v>0</v>
      </c>
    </row>
    <row r="32" spans="1:15">
      <c r="B32" s="36" t="inlineStr">
        <is>
          <t>りんご研</t>
        </is>
      </c>
      <c r="C32" s="55">
        <f t="shared" si="0"/>
        <v>0</v>
      </c>
      <c r="D32" s="51" t="inlineStr">
        <is>
          <t>Web</t>
          <phoneticPr fontId="12"/>
        </is>
      </c>
      <c r="E32" s="45">
        <f t="shared" si="1"/>
        <v>0</v>
      </c>
      <c r="I32" s="35" t="inlineStr">
        <is>
          <t>りんご研</t>
        </is>
      </c>
      <c r="J32" s="35">
        <f t="shared" si="2"/>
        <v>0</v>
      </c>
      <c r="K32" s="17" t="inlineStr">
        <is>
          <t>Web</t>
          <phoneticPr fontId="12"/>
        </is>
      </c>
      <c r="L32" s="45">
        <f t="shared" si="3"/>
        <v>0</v>
      </c>
    </row>
    <row r="33" spans="2:12">
      <c r="B33" s="36" t="inlineStr">
        <is>
          <t>畜産研</t>
        </is>
      </c>
      <c r="C33" s="55">
        <f t="shared" si="0"/>
        <v>0</v>
      </c>
      <c r="D33" s="51" t="inlineStr">
        <is>
          <t>その他</t>
        </is>
      </c>
      <c r="E33" s="45">
        <f t="shared" si="1"/>
        <v>0</v>
      </c>
      <c r="I33" s="35" t="inlineStr">
        <is>
          <t>畜産研</t>
        </is>
      </c>
      <c r="J33" s="35">
        <f t="shared" si="2"/>
        <v>0</v>
      </c>
      <c r="K33" s="17" t="inlineStr">
        <is>
          <t>その他</t>
        </is>
      </c>
      <c r="L33" s="45">
        <f t="shared" si="3"/>
        <v>0</v>
      </c>
    </row>
    <row r="34" spans="2:12" ht="15" thickBot="1">
      <c r="B34" s="37" t="inlineStr">
        <is>
          <t>林業研</t>
        </is>
      </c>
      <c r="C34" s="56">
        <f t="shared" si="0"/>
        <v>0</v>
      </c>
      <c r="D34" s="51"/>
      <c r="E34" s="45"/>
      <c r="I34" s="35" t="inlineStr">
        <is>
          <t>林業研</t>
        </is>
      </c>
      <c r="J34" s="35">
        <f t="shared" si="2"/>
        <v>0</v>
      </c>
      <c r="K34" s="17"/>
      <c r="L34" s="45"/>
    </row>
    <row r="35" spans="2:12">
      <c r="B35" s="60" t="inlineStr">
        <is>
          <t>水総研</t>
        </is>
      </c>
      <c r="C35" s="54">
        <f t="shared" si="0"/>
        <v>0</v>
      </c>
      <c r="D35" s="51"/>
      <c r="E35" s="45"/>
      <c r="I35" s="47" t="inlineStr">
        <is>
          <t>水総研</t>
        </is>
      </c>
      <c r="J35" s="47">
        <f t="shared" si="2"/>
        <v>0</v>
      </c>
      <c r="K35" s="17"/>
      <c r="L35" s="45"/>
    </row>
    <row r="36" spans="2:12" ht="15" thickBot="1">
      <c r="B36" s="61" t="inlineStr">
        <is>
          <t>内水研</t>
        </is>
      </c>
      <c r="C36" s="56">
        <f t="shared" si="0"/>
        <v>0</v>
      </c>
      <c r="D36" s="51"/>
      <c r="E36" s="45"/>
      <c r="I36" s="47" t="inlineStr">
        <is>
          <t>内水研</t>
        </is>
      </c>
      <c r="J36" s="47">
        <f t="shared" si="2"/>
        <v>0</v>
      </c>
      <c r="K36" s="17"/>
      <c r="L36" s="45"/>
    </row>
    <row r="37" spans="2:12">
      <c r="B37" s="75" t="inlineStr">
        <is>
          <t>食総研</t>
        </is>
      </c>
      <c r="C37" s="54">
        <f t="shared" si="0"/>
        <v>0</v>
      </c>
      <c r="D37" s="51"/>
      <c r="E37" s="45"/>
      <c r="I37" s="78" t="inlineStr">
        <is>
          <t>食総研</t>
        </is>
      </c>
      <c r="J37" s="78">
        <f t="shared" si="2"/>
        <v>0</v>
      </c>
      <c r="K37" s="17"/>
      <c r="L37" s="45"/>
    </row>
    <row r="38" spans="2:12">
      <c r="B38" s="76" t="inlineStr">
        <is>
          <t>下北研</t>
        </is>
      </c>
      <c r="C38" s="55">
        <f t="shared" si="0"/>
        <v>0</v>
      </c>
      <c r="D38" s="51"/>
      <c r="E38" s="45"/>
      <c r="I38" s="78" t="inlineStr">
        <is>
          <t>下北研</t>
        </is>
      </c>
      <c r="J38" s="78">
        <f t="shared" si="2"/>
        <v>0</v>
      </c>
      <c r="K38" s="17"/>
      <c r="L38" s="45"/>
    </row>
    <row r="39" spans="2:12" ht="15" thickBot="1">
      <c r="B39" s="77" t="inlineStr">
        <is>
          <t>農加研</t>
        </is>
      </c>
      <c r="C39" s="56">
        <f t="shared" si="0"/>
        <v>0</v>
      </c>
      <c r="D39" s="51"/>
      <c r="E39" s="45"/>
      <c r="I39" s="78" t="inlineStr">
        <is>
          <t>農加研</t>
        </is>
      </c>
      <c r="J39" s="78">
        <f t="shared" si="2"/>
        <v>0</v>
      </c>
      <c r="K39" s="17"/>
      <c r="L39" s="45"/>
    </row>
    <row r="40" spans="2:12">
      <c r="B40" s="52" t="inlineStr">
        <is>
          <t>計</t>
          <rPh sb="0" eb="1">
            <t>ケイ</t>
          </rPh>
          <phoneticPr fontId="12"/>
        </is>
      </c>
      <c r="C40" s="53">
        <f>SUM(C27:C39)</f>
        <v>0</v>
      </c>
      <c r="D40" s="29" t="inlineStr">
        <is>
          <t>計</t>
          <rPh sb="0" eb="1">
            <t>ケイ</t>
          </rPh>
          <phoneticPr fontId="12"/>
        </is>
      </c>
      <c r="E40" s="50">
        <f>SUM(E27:E39)</f>
        <v>0</v>
      </c>
      <c r="I40" s="121" t="inlineStr">
        <is>
          <t>計</t>
        </is>
      </c>
      <c r="J40" s="121">
        <f>SUM(J27:J39)</f>
        <v>0</v>
      </c>
      <c r="K40" s="122" t="inlineStr">
        <is>
          <t>計</t>
          <rPh sb="0" eb="1">
            <t>ケイ</t>
          </rPh>
          <phoneticPr fontId="12"/>
        </is>
      </c>
      <c r="L40" s="123">
        <f>SUM(L27:L39)</f>
        <v>0</v>
      </c>
    </row>
  </sheetData>
  <autoFilter ref="A6:O24"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3" xr:uid="{133D656D-ED85-484E-9D7C-63FB01AC2A00}">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17857-F0A9-4A92-A2D8-229BAA9884FC}">
  <sheetPr>
    <pageSetUpPr fitToPage="1"/>
  </sheetPr>
  <dimension ref="A1:O37"/>
  <sheetViews>
    <sheetView view="pageBreakPreview" zoomScaleNormal="80" zoomScaleSheetLayoutView="100" workbookViewId="0">
      <selection activeCell="A3" sqref="A3"/>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136"/>
    </row>
    <row r="10" spans="1:15" ht="41.25" customHeight="1">
      <c r="A10" s="17"/>
      <c r="B10" s="40"/>
      <c r="C10" s="40"/>
      <c r="D10" s="12"/>
      <c r="E10" s="38"/>
      <c r="F10" s="13"/>
      <c r="G10" s="13"/>
      <c r="H10" s="13"/>
      <c r="I10" s="13"/>
      <c r="J10" s="12"/>
      <c r="K10" s="34"/>
      <c r="L10" s="82"/>
      <c r="M10" s="83"/>
      <c r="N10" s="83"/>
      <c r="O10" s="136"/>
    </row>
    <row r="11" spans="1:15" ht="43.5" customHeight="1">
      <c r="A11" s="17"/>
      <c r="B11" s="40"/>
      <c r="C11" s="40"/>
      <c r="D11" s="12"/>
      <c r="E11" s="38"/>
      <c r="F11" s="13"/>
      <c r="G11" s="13"/>
      <c r="H11" s="138"/>
      <c r="I11" s="13"/>
      <c r="J11" s="12"/>
      <c r="K11" s="34"/>
      <c r="L11" s="82"/>
      <c r="M11" s="83"/>
      <c r="N11" s="83"/>
      <c r="O11" s="136"/>
    </row>
    <row r="12" spans="1:15">
      <c r="A12" s="17"/>
      <c r="B12" s="40"/>
      <c r="C12" s="40"/>
      <c r="D12" s="12"/>
      <c r="E12" s="38"/>
      <c r="F12" s="13"/>
      <c r="G12" s="13"/>
      <c r="H12" s="13"/>
      <c r="I12" s="13"/>
      <c r="J12" s="12"/>
      <c r="K12" s="34"/>
      <c r="L12" s="82"/>
      <c r="M12" s="83"/>
      <c r="N12" s="83"/>
      <c r="O12" s="136"/>
    </row>
    <row r="13" spans="1:15">
      <c r="A13" s="17"/>
      <c r="B13" s="40"/>
      <c r="C13" s="40"/>
      <c r="D13" s="12"/>
      <c r="E13" s="38"/>
      <c r="F13" s="13"/>
      <c r="G13" s="13"/>
      <c r="H13" s="13"/>
      <c r="I13" s="13"/>
      <c r="J13" s="12"/>
      <c r="K13" s="34"/>
      <c r="L13" s="82"/>
      <c r="M13" s="83"/>
      <c r="N13" s="83"/>
      <c r="O13" s="136"/>
    </row>
    <row r="14" spans="1:15" ht="43.5" customHeight="1">
      <c r="A14" s="17"/>
      <c r="B14" s="40"/>
      <c r="C14" s="40"/>
      <c r="D14" s="12"/>
      <c r="E14" s="38"/>
      <c r="F14" s="145"/>
      <c r="G14" s="13"/>
      <c r="H14" s="13"/>
      <c r="I14" s="13"/>
      <c r="J14" s="12"/>
      <c r="K14" s="34"/>
      <c r="L14" s="82"/>
      <c r="M14" s="83"/>
      <c r="N14" s="83"/>
      <c r="O14" s="136"/>
    </row>
    <row r="15" spans="1:15">
      <c r="A15" s="17"/>
      <c r="B15" s="40"/>
      <c r="C15" s="40"/>
      <c r="D15" s="12"/>
      <c r="E15" s="38"/>
      <c r="F15" s="140"/>
      <c r="G15" s="141"/>
      <c r="H15" s="13"/>
      <c r="I15" s="13"/>
      <c r="J15" s="12"/>
      <c r="K15" s="34"/>
      <c r="L15" s="82"/>
      <c r="M15" s="83"/>
      <c r="N15" s="83"/>
      <c r="O15" s="136"/>
    </row>
    <row r="16" spans="1:15">
      <c r="A16" s="17"/>
      <c r="B16" s="39"/>
      <c r="C16" s="40"/>
      <c r="D16" s="12"/>
      <c r="E16" s="38"/>
      <c r="F16" s="144"/>
      <c r="G16" s="143"/>
      <c r="H16" s="139"/>
      <c r="I16" s="13"/>
      <c r="J16" s="12"/>
      <c r="K16" s="34"/>
      <c r="L16" s="82"/>
      <c r="M16" s="83"/>
      <c r="N16" s="83"/>
      <c r="O16" s="136"/>
    </row>
    <row r="17" spans="1:15">
      <c r="A17" s="17"/>
      <c r="B17" s="39"/>
      <c r="C17" s="40"/>
      <c r="D17" s="12"/>
      <c r="E17" s="38"/>
      <c r="F17" s="142"/>
      <c r="G17" s="142"/>
      <c r="H17" s="13"/>
      <c r="I17" s="13"/>
      <c r="J17" s="12"/>
      <c r="K17" s="34"/>
      <c r="L17" s="82"/>
      <c r="M17" s="83"/>
      <c r="N17" s="83"/>
      <c r="O17" s="136"/>
    </row>
    <row r="18" spans="1:15" ht="43.5" customHeight="1">
      <c r="A18" s="17"/>
      <c r="B18" s="39"/>
      <c r="C18" s="40"/>
      <c r="D18" s="12"/>
      <c r="E18" s="38"/>
      <c r="F18" s="13"/>
      <c r="G18" s="143"/>
      <c r="H18" s="13"/>
      <c r="I18" s="13"/>
      <c r="J18" s="12"/>
      <c r="K18" s="34"/>
      <c r="L18" s="82"/>
      <c r="M18" s="83"/>
      <c r="N18" s="83"/>
      <c r="O18" s="136"/>
    </row>
    <row r="19" spans="1:15">
      <c r="A19" s="17"/>
      <c r="B19" s="39"/>
      <c r="C19" s="40"/>
      <c r="D19" s="12"/>
      <c r="E19" s="38"/>
      <c r="F19" s="13"/>
      <c r="G19" s="13"/>
      <c r="H19" s="13"/>
      <c r="I19" s="13"/>
      <c r="J19" s="12"/>
      <c r="K19" s="34"/>
      <c r="L19" s="82"/>
      <c r="M19" s="83"/>
      <c r="N19" s="83"/>
      <c r="O19" s="136"/>
    </row>
    <row r="20" spans="1:15" ht="44.25" customHeight="1">
      <c r="A20" s="17"/>
      <c r="B20" s="39"/>
      <c r="C20" s="40"/>
      <c r="D20" s="12"/>
      <c r="E20" s="38"/>
      <c r="F20" s="13"/>
      <c r="G20" s="143"/>
      <c r="H20" s="13"/>
      <c r="I20" s="13"/>
      <c r="J20" s="12"/>
      <c r="K20" s="34"/>
      <c r="L20" s="82"/>
      <c r="M20" s="83"/>
      <c r="N20" s="83"/>
      <c r="O20" s="136"/>
    </row>
    <row r="21" spans="1:15" ht="26.25" customHeight="1">
      <c r="A21" s="49"/>
      <c r="E21" s="62">
        <f>SUM(E9:E20)</f>
        <v>0</v>
      </c>
      <c r="J21" s="124">
        <f>SUM(J9:J20)</f>
        <v>0</v>
      </c>
    </row>
    <row r="23" spans="1:15" ht="15" thickBot="1">
      <c r="B23" s="63" t="inlineStr">
        <is>
          <t>相談件数</t>
          <rPh sb="0" eb="2">
            <t>ソウダン</t>
          </rPh>
          <rPh sb="2" eb="4">
            <t>ケンスウ</t>
          </rPh>
          <phoneticPr fontId="12"/>
        </is>
      </c>
      <c r="I23" s="63" t="inlineStr">
        <is>
          <t>応答回数</t>
          <rPh sb="0" eb="2">
            <t>オウトウ</t>
          </rPh>
          <rPh sb="2" eb="4">
            <t>カイスウ</t>
          </rPh>
          <phoneticPr fontId="12"/>
        </is>
      </c>
    </row>
    <row r="24" spans="1:15">
      <c r="B24" s="57" t="inlineStr">
        <is>
          <t>工総研</t>
        </is>
      </c>
      <c r="C24" s="54">
        <f t="shared" ref="C24:C36" si="0">COUNTIF($C$9:$C$20,B24)</f>
        <v>0</v>
      </c>
      <c r="D24" s="51" t="inlineStr">
        <is>
          <t>電話</t>
        </is>
      </c>
      <c r="E24" s="45">
        <f t="shared" ref="E24:E30" si="1">COUNTIF($E$9:$E$20,D24)</f>
        <v>0</v>
      </c>
      <c r="I24" s="46" t="inlineStr">
        <is>
          <t>工総研</t>
        </is>
      </c>
      <c r="J24" s="46">
        <f t="shared" ref="J24:J36" si="2">SUMIF($C$9:$C$20,I24,$J$9:$J$20)</f>
        <v>0</v>
      </c>
      <c r="K24" s="17" t="inlineStr">
        <is>
          <t>電話</t>
        </is>
      </c>
      <c r="L24" s="45">
        <f t="shared" ref="L24:L30" si="3">SUMIF($E$9:$E$20,K24,$J$9:$J$20)</f>
        <v>0</v>
      </c>
    </row>
    <row r="25" spans="1:15">
      <c r="B25" s="58" t="inlineStr">
        <is>
          <t>弘工研</t>
        </is>
      </c>
      <c r="C25" s="55">
        <f t="shared" si="0"/>
        <v>0</v>
      </c>
      <c r="D25" s="51" t="inlineStr">
        <is>
          <t>メール</t>
        </is>
      </c>
      <c r="E25" s="45">
        <f t="shared" si="1"/>
        <v>0</v>
      </c>
      <c r="I25" s="46" t="inlineStr">
        <is>
          <t>弘工研</t>
        </is>
      </c>
      <c r="J25" s="46">
        <f t="shared" si="2"/>
        <v>0</v>
      </c>
      <c r="K25" s="17" t="inlineStr">
        <is>
          <t>メール</t>
        </is>
      </c>
      <c r="L25" s="45">
        <f t="shared" si="3"/>
        <v>0</v>
      </c>
    </row>
    <row r="26" spans="1:15" ht="15" thickBot="1">
      <c r="B26" s="59" t="inlineStr">
        <is>
          <t>八工研</t>
        </is>
      </c>
      <c r="C26" s="56">
        <f t="shared" si="0"/>
        <v>0</v>
      </c>
      <c r="D26" s="51" t="inlineStr">
        <is>
          <t>来所</t>
        </is>
      </c>
      <c r="E26" s="45">
        <f t="shared" si="1"/>
        <v>0</v>
      </c>
      <c r="I26" s="46" t="inlineStr">
        <is>
          <t>八工研</t>
        </is>
      </c>
      <c r="J26" s="46">
        <f t="shared" si="2"/>
        <v>0</v>
      </c>
      <c r="K26" s="17" t="inlineStr">
        <is>
          <t>来所</t>
        </is>
      </c>
      <c r="L26" s="45">
        <f t="shared" si="3"/>
        <v>0</v>
      </c>
    </row>
    <row r="27" spans="1:15">
      <c r="B27" s="74" t="inlineStr">
        <is>
          <t>農総研</t>
        </is>
      </c>
      <c r="C27" s="54">
        <f t="shared" si="0"/>
        <v>0</v>
      </c>
      <c r="D27" s="51" t="inlineStr">
        <is>
          <t>現場</t>
        </is>
      </c>
      <c r="E27" s="45">
        <f t="shared" si="1"/>
        <v>0</v>
      </c>
      <c r="I27" s="35" t="inlineStr">
        <is>
          <t>農総研</t>
        </is>
      </c>
      <c r="J27" s="35">
        <f t="shared" si="2"/>
        <v>0</v>
      </c>
      <c r="K27" s="17" t="inlineStr">
        <is>
          <t>現場</t>
        </is>
      </c>
      <c r="L27" s="45">
        <f t="shared" si="3"/>
        <v>0</v>
      </c>
    </row>
    <row r="28" spans="1:15">
      <c r="B28" s="36" t="inlineStr">
        <is>
          <t>野菜研</t>
        </is>
      </c>
      <c r="C28" s="55">
        <f t="shared" si="0"/>
        <v>0</v>
      </c>
      <c r="D28" s="51" t="inlineStr">
        <is>
          <t>FAX</t>
          <phoneticPr fontId="12"/>
        </is>
      </c>
      <c r="E28" s="45">
        <f t="shared" si="1"/>
        <v>0</v>
      </c>
      <c r="I28" s="35" t="inlineStr">
        <is>
          <t>野菜研</t>
        </is>
      </c>
      <c r="J28" s="35">
        <f t="shared" si="2"/>
        <v>0</v>
      </c>
      <c r="K28" s="17" t="inlineStr">
        <is>
          <t>FAX</t>
          <phoneticPr fontId="12"/>
        </is>
      </c>
      <c r="L28" s="45">
        <f t="shared" si="3"/>
        <v>0</v>
      </c>
    </row>
    <row r="29" spans="1:15">
      <c r="B29" s="36" t="inlineStr">
        <is>
          <t>りんご研</t>
        </is>
      </c>
      <c r="C29" s="55">
        <f t="shared" si="0"/>
        <v>0</v>
      </c>
      <c r="D29" s="51" t="inlineStr">
        <is>
          <t>Web</t>
          <phoneticPr fontId="12"/>
        </is>
      </c>
      <c r="E29" s="45">
        <f t="shared" si="1"/>
        <v>0</v>
      </c>
      <c r="I29" s="35" t="inlineStr">
        <is>
          <t>りんご研</t>
        </is>
      </c>
      <c r="J29" s="35">
        <f t="shared" si="2"/>
        <v>0</v>
      </c>
      <c r="K29" s="17" t="inlineStr">
        <is>
          <t>Web</t>
          <phoneticPr fontId="12"/>
        </is>
      </c>
      <c r="L29" s="45">
        <f t="shared" si="3"/>
        <v>0</v>
      </c>
    </row>
    <row r="30" spans="1:15">
      <c r="B30" s="36" t="inlineStr">
        <is>
          <t>畜産研</t>
        </is>
      </c>
      <c r="C30" s="55">
        <f t="shared" si="0"/>
        <v>0</v>
      </c>
      <c r="D30" s="51" t="inlineStr">
        <is>
          <t>その他</t>
        </is>
      </c>
      <c r="E30" s="45">
        <f t="shared" si="1"/>
        <v>0</v>
      </c>
      <c r="I30" s="35" t="inlineStr">
        <is>
          <t>畜産研</t>
        </is>
      </c>
      <c r="J30" s="35">
        <f t="shared" si="2"/>
        <v>0</v>
      </c>
      <c r="K30" s="17" t="inlineStr">
        <is>
          <t>その他</t>
        </is>
      </c>
      <c r="L30" s="45">
        <f t="shared" si="3"/>
        <v>0</v>
      </c>
    </row>
    <row r="31" spans="1:15" ht="15" thickBot="1">
      <c r="B31" s="37" t="inlineStr">
        <is>
          <t>林業研</t>
        </is>
      </c>
      <c r="C31" s="56">
        <f t="shared" si="0"/>
        <v>0</v>
      </c>
      <c r="D31" s="51"/>
      <c r="E31" s="45"/>
      <c r="I31" s="35" t="inlineStr">
        <is>
          <t>林業研</t>
        </is>
      </c>
      <c r="J31" s="35">
        <f t="shared" si="2"/>
        <v>0</v>
      </c>
      <c r="K31" s="17"/>
      <c r="L31" s="45"/>
    </row>
    <row r="32" spans="1:15">
      <c r="B32" s="60" t="inlineStr">
        <is>
          <t>水総研</t>
        </is>
      </c>
      <c r="C32" s="54">
        <f t="shared" si="0"/>
        <v>0</v>
      </c>
      <c r="D32" s="51"/>
      <c r="E32" s="45"/>
      <c r="I32" s="47" t="inlineStr">
        <is>
          <t>水総研</t>
        </is>
      </c>
      <c r="J32" s="47">
        <f t="shared" si="2"/>
        <v>0</v>
      </c>
      <c r="K32" s="17"/>
      <c r="L32" s="45"/>
    </row>
    <row r="33" spans="2:12" ht="15" thickBot="1">
      <c r="B33" s="61" t="inlineStr">
        <is>
          <t>内水研</t>
        </is>
      </c>
      <c r="C33" s="56">
        <f t="shared" si="0"/>
        <v>0</v>
      </c>
      <c r="D33" s="51"/>
      <c r="E33" s="45"/>
      <c r="I33" s="47" t="inlineStr">
        <is>
          <t>内水研</t>
        </is>
      </c>
      <c r="J33" s="47">
        <f t="shared" si="2"/>
        <v>0</v>
      </c>
      <c r="K33" s="17"/>
      <c r="L33" s="45"/>
    </row>
    <row r="34" spans="2:12">
      <c r="B34" s="75" t="inlineStr">
        <is>
          <t>食総研</t>
        </is>
      </c>
      <c r="C34" s="54">
        <f t="shared" si="0"/>
        <v>0</v>
      </c>
      <c r="D34" s="51"/>
      <c r="E34" s="45"/>
      <c r="I34" s="78" t="inlineStr">
        <is>
          <t>食総研</t>
        </is>
      </c>
      <c r="J34" s="78">
        <f t="shared" si="2"/>
        <v>0</v>
      </c>
      <c r="K34" s="17"/>
      <c r="L34" s="45"/>
    </row>
    <row r="35" spans="2:12">
      <c r="B35" s="76" t="inlineStr">
        <is>
          <t>下北研</t>
        </is>
      </c>
      <c r="C35" s="55">
        <f t="shared" si="0"/>
        <v>0</v>
      </c>
      <c r="D35" s="51"/>
      <c r="E35" s="45"/>
      <c r="I35" s="78" t="inlineStr">
        <is>
          <t>下北研</t>
        </is>
      </c>
      <c r="J35" s="78">
        <f t="shared" si="2"/>
        <v>0</v>
      </c>
      <c r="K35" s="17"/>
      <c r="L35" s="45"/>
    </row>
    <row r="36" spans="2:12" ht="15" thickBot="1">
      <c r="B36" s="77" t="inlineStr">
        <is>
          <t>農加研</t>
        </is>
      </c>
      <c r="C36" s="56">
        <f t="shared" si="0"/>
        <v>0</v>
      </c>
      <c r="D36" s="51"/>
      <c r="E36" s="45"/>
      <c r="I36" s="78" t="inlineStr">
        <is>
          <t>農加研</t>
        </is>
      </c>
      <c r="J36" s="78">
        <f t="shared" si="2"/>
        <v>0</v>
      </c>
      <c r="K36" s="17"/>
      <c r="L36" s="45"/>
    </row>
    <row r="37" spans="2:12">
      <c r="B37" s="52" t="inlineStr">
        <is>
          <t>計</t>
          <rPh sb="0" eb="1">
            <t>ケイ</t>
          </rPh>
          <phoneticPr fontId="12"/>
        </is>
      </c>
      <c r="C37" s="53">
        <f>SUM(C24:C36)</f>
        <v>0</v>
      </c>
      <c r="D37" s="29" t="inlineStr">
        <is>
          <t>計</t>
          <rPh sb="0" eb="1">
            <t>ケイ</t>
          </rPh>
          <phoneticPr fontId="12"/>
        </is>
      </c>
      <c r="E37" s="50">
        <f>SUM(E24:E36)</f>
        <v>0</v>
      </c>
      <c r="I37" s="121" t="inlineStr">
        <is>
          <t>計</t>
        </is>
      </c>
      <c r="J37" s="121">
        <f>SUM(J24:J36)</f>
        <v>0</v>
      </c>
      <c r="K37" s="122" t="inlineStr">
        <is>
          <t>計</t>
          <rPh sb="0" eb="1">
            <t>ケイ</t>
          </rPh>
          <phoneticPr fontId="12"/>
        </is>
      </c>
      <c r="L37" s="123">
        <f>SUM(L24:L36)</f>
        <v>0</v>
      </c>
    </row>
  </sheetData>
  <autoFilter ref="A6:O21"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0" xr:uid="{AC9E47AE-F437-490A-BF47-5CDBB52D829F}">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103D-576E-4159-B249-72E572F9186F}">
  <sheetPr>
    <pageSetUpPr fitToPage="1"/>
  </sheetPr>
  <dimension ref="A1:O38"/>
  <sheetViews>
    <sheetView view="pageBreakPreview" zoomScaleNormal="80" zoomScaleSheetLayoutView="100" workbookViewId="0">
      <selection activeCell="I11" sqref="I11"/>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46"/>
      <c r="G9" s="146"/>
      <c r="H9" s="18"/>
      <c r="I9" s="18"/>
      <c r="J9" s="12"/>
      <c r="K9" s="34"/>
      <c r="L9" s="82"/>
      <c r="M9" s="83"/>
      <c r="N9" s="83"/>
      <c r="O9" s="136"/>
    </row>
    <row r="10" spans="1:15" ht="41.25" customHeight="1">
      <c r="A10" s="17"/>
      <c r="B10" s="40"/>
      <c r="C10" s="40"/>
      <c r="D10" s="12"/>
      <c r="E10" s="38"/>
      <c r="F10" s="146"/>
      <c r="G10" s="146"/>
      <c r="H10" s="18"/>
      <c r="I10" s="18"/>
      <c r="J10" s="12"/>
      <c r="K10" s="34"/>
      <c r="L10" s="82"/>
      <c r="M10" s="83"/>
      <c r="N10" s="83"/>
      <c r="O10" s="136"/>
    </row>
    <row r="11" spans="1:15" ht="43.5" customHeight="1">
      <c r="A11" s="17"/>
      <c r="B11" s="40"/>
      <c r="C11" s="40"/>
      <c r="D11" s="12"/>
      <c r="E11" s="38"/>
      <c r="F11" s="146"/>
      <c r="G11" s="146"/>
      <c r="H11" s="18"/>
      <c r="I11" s="18"/>
      <c r="J11" s="12"/>
      <c r="K11" s="34"/>
      <c r="L11" s="82"/>
      <c r="M11" s="83"/>
      <c r="N11" s="83"/>
      <c r="O11" s="136"/>
    </row>
    <row r="12" spans="1:15">
      <c r="A12" s="17"/>
      <c r="B12" s="40"/>
      <c r="C12" s="40"/>
      <c r="D12" s="12"/>
      <c r="E12" s="38"/>
      <c r="F12" s="147"/>
      <c r="G12" s="146"/>
      <c r="H12" s="18"/>
      <c r="I12" s="18"/>
      <c r="J12" s="12"/>
      <c r="K12" s="34"/>
      <c r="L12" s="82"/>
      <c r="M12" s="83"/>
      <c r="N12" s="83"/>
      <c r="O12" s="136"/>
    </row>
    <row r="13" spans="1:15">
      <c r="A13" s="17"/>
      <c r="B13" s="40"/>
      <c r="C13" s="40"/>
      <c r="D13" s="12"/>
      <c r="E13" s="38"/>
      <c r="F13" s="146"/>
      <c r="G13" s="146"/>
      <c r="H13" s="18"/>
      <c r="I13" s="18"/>
      <c r="J13" s="12"/>
      <c r="K13" s="34"/>
      <c r="L13" s="82"/>
      <c r="M13" s="83"/>
      <c r="N13" s="83"/>
      <c r="O13" s="136"/>
    </row>
    <row r="14" spans="1:15">
      <c r="A14" s="17"/>
      <c r="B14" s="40"/>
      <c r="C14" s="40"/>
      <c r="D14" s="12"/>
      <c r="E14" s="38"/>
      <c r="F14" s="146"/>
      <c r="G14" s="146"/>
      <c r="H14" s="18"/>
      <c r="I14" s="18"/>
      <c r="J14" s="12"/>
      <c r="K14" s="34"/>
      <c r="L14" s="82"/>
      <c r="M14" s="83"/>
      <c r="N14" s="83"/>
      <c r="O14" s="136"/>
    </row>
    <row r="15" spans="1:15" ht="43.5" customHeight="1">
      <c r="A15" s="17"/>
      <c r="B15" s="40"/>
      <c r="C15" s="40"/>
      <c r="D15" s="12"/>
      <c r="E15" s="38"/>
      <c r="F15" s="146"/>
      <c r="G15" s="146"/>
      <c r="H15" s="18"/>
      <c r="I15" s="18"/>
      <c r="J15" s="12"/>
      <c r="K15" s="34"/>
      <c r="L15" s="82"/>
      <c r="M15" s="83"/>
      <c r="N15" s="83"/>
      <c r="O15" s="136"/>
    </row>
    <row r="16" spans="1:15" ht="43.5" customHeight="1">
      <c r="A16" s="17"/>
      <c r="B16" s="40"/>
      <c r="C16" s="40"/>
      <c r="D16" s="12"/>
      <c r="E16" s="38"/>
      <c r="F16" s="146"/>
      <c r="G16" s="146"/>
      <c r="H16" s="18"/>
      <c r="I16" s="18"/>
      <c r="J16" s="12"/>
      <c r="K16" s="34"/>
      <c r="L16" s="82"/>
      <c r="M16" s="83"/>
      <c r="N16" s="83"/>
      <c r="O16" s="136"/>
    </row>
    <row r="17" spans="1:15">
      <c r="A17" s="17"/>
      <c r="B17" s="40"/>
      <c r="C17" s="40"/>
      <c r="D17" s="12"/>
      <c r="E17" s="38"/>
      <c r="F17" s="146"/>
      <c r="G17" s="146"/>
      <c r="H17" s="18"/>
      <c r="I17" s="18"/>
      <c r="J17" s="12"/>
      <c r="K17" s="34"/>
      <c r="L17" s="82"/>
      <c r="M17" s="83"/>
      <c r="N17" s="83"/>
      <c r="O17" s="136"/>
    </row>
    <row r="18" spans="1:15" ht="43.5" customHeight="1">
      <c r="A18" s="17"/>
      <c r="B18" s="40"/>
      <c r="C18" s="40"/>
      <c r="D18" s="12"/>
      <c r="E18" s="38"/>
      <c r="F18" s="146"/>
      <c r="G18" s="146"/>
      <c r="H18" s="18"/>
      <c r="I18" s="18"/>
      <c r="J18" s="12"/>
      <c r="K18" s="34"/>
      <c r="L18" s="82"/>
      <c r="M18" s="83"/>
      <c r="N18" s="83"/>
      <c r="O18" s="136"/>
    </row>
    <row r="19" spans="1:15" ht="43.5" customHeight="1">
      <c r="A19" s="17"/>
      <c r="B19" s="40"/>
      <c r="C19" s="40"/>
      <c r="D19" s="12"/>
      <c r="E19" s="38"/>
      <c r="F19" s="146"/>
      <c r="G19" s="146"/>
      <c r="H19" s="18"/>
      <c r="I19" s="18"/>
      <c r="J19" s="12"/>
      <c r="K19" s="34"/>
      <c r="L19" s="82"/>
      <c r="M19" s="83"/>
      <c r="N19" s="83"/>
      <c r="O19" s="136"/>
    </row>
    <row r="20" spans="1:15">
      <c r="A20" s="17"/>
      <c r="B20" s="40"/>
      <c r="C20" s="40"/>
      <c r="D20" s="12"/>
      <c r="E20" s="38"/>
      <c r="F20" s="146"/>
      <c r="G20" s="146"/>
      <c r="H20" s="18"/>
      <c r="I20" s="18"/>
      <c r="J20" s="12"/>
      <c r="K20" s="34"/>
      <c r="L20" s="82"/>
      <c r="M20" s="83"/>
      <c r="N20" s="83"/>
      <c r="O20" s="136"/>
    </row>
    <row r="21" spans="1:15" ht="42" customHeight="1">
      <c r="A21" s="17"/>
      <c r="B21" s="40"/>
      <c r="C21" s="40"/>
      <c r="D21" s="12"/>
      <c r="E21" s="38"/>
      <c r="F21" s="146"/>
      <c r="G21" s="146"/>
      <c r="H21" s="18"/>
      <c r="I21" s="18"/>
      <c r="J21" s="12"/>
      <c r="K21" s="34"/>
      <c r="L21" s="82"/>
      <c r="M21" s="83"/>
      <c r="N21" s="83"/>
      <c r="O21" s="136"/>
    </row>
    <row r="22" spans="1:15" ht="26.25" customHeight="1">
      <c r="A22" s="49"/>
      <c r="E22" s="62">
        <f>SUM(E9:E21)</f>
        <v>0</v>
      </c>
      <c r="J22" s="124">
        <f>SUM(J9:J21)</f>
        <v>0</v>
      </c>
    </row>
    <row r="24" spans="1:15" ht="15" thickBot="1">
      <c r="B24" s="63" t="inlineStr">
        <is>
          <t>相談件数</t>
          <rPh sb="0" eb="2">
            <t>ソウダン</t>
          </rPh>
          <rPh sb="2" eb="4">
            <t>ケンスウ</t>
          </rPh>
          <phoneticPr fontId="12"/>
        </is>
      </c>
      <c r="I24" s="63" t="inlineStr">
        <is>
          <t>応答回数</t>
          <rPh sb="0" eb="2">
            <t>オウトウ</t>
          </rPh>
          <rPh sb="2" eb="4">
            <t>カイスウ</t>
          </rPh>
          <phoneticPr fontId="12"/>
        </is>
      </c>
    </row>
    <row r="25" spans="1:15">
      <c r="B25" s="57" t="inlineStr">
        <is>
          <t>工総研</t>
        </is>
      </c>
      <c r="C25" s="54">
        <f t="shared" ref="C25:C37" si="0">COUNTIF($C$9:$C$21,B25)</f>
        <v>0</v>
      </c>
      <c r="D25" s="51" t="inlineStr">
        <is>
          <t>電話</t>
        </is>
      </c>
      <c r="E25" s="45">
        <f>COUNTIF($E$9:$E$21,D25)</f>
        <v>0</v>
      </c>
      <c r="I25" s="46" t="inlineStr">
        <is>
          <t>工総研</t>
        </is>
      </c>
      <c r="J25" s="46">
        <f t="shared" ref="J25:J37" si="1">SUMIF($C$9:$C$21,I25,$J$9:$J$21)</f>
        <v>0</v>
      </c>
      <c r="K25" s="17" t="inlineStr">
        <is>
          <t>電話</t>
        </is>
      </c>
      <c r="L25" s="45">
        <f t="shared" ref="L25:L31" si="2">SUMIF($E$9:$E$21,K25,$J$9:$J$21)</f>
        <v>0</v>
      </c>
    </row>
    <row r="26" spans="1:15">
      <c r="B26" s="58" t="inlineStr">
        <is>
          <t>弘工研</t>
        </is>
      </c>
      <c r="C26" s="55">
        <f t="shared" si="0"/>
        <v>0</v>
      </c>
      <c r="D26" s="51" t="inlineStr">
        <is>
          <t>メール</t>
        </is>
      </c>
      <c r="E26" s="45">
        <f>COUNTIF($E$9:$E$21,D26)</f>
        <v>0</v>
      </c>
      <c r="I26" s="46" t="inlineStr">
        <is>
          <t>弘工研</t>
        </is>
      </c>
      <c r="J26" s="46">
        <f t="shared" si="1"/>
        <v>0</v>
      </c>
      <c r="K26" s="17" t="inlineStr">
        <is>
          <t>メール</t>
        </is>
      </c>
      <c r="L26" s="45">
        <f t="shared" si="2"/>
        <v>0</v>
      </c>
    </row>
    <row r="27" spans="1:15" ht="15" thickBot="1">
      <c r="B27" s="59" t="inlineStr">
        <is>
          <t>八工研</t>
        </is>
      </c>
      <c r="C27" s="56">
        <f t="shared" si="0"/>
        <v>0</v>
      </c>
      <c r="D27" s="51" t="inlineStr">
        <is>
          <t>来所</t>
        </is>
      </c>
      <c r="E27" s="45">
        <f>COUNTIF($E$9:$E$21,D27)</f>
        <v>0</v>
      </c>
      <c r="I27" s="46" t="inlineStr">
        <is>
          <t>八工研</t>
        </is>
      </c>
      <c r="J27" s="46">
        <f t="shared" si="1"/>
        <v>0</v>
      </c>
      <c r="K27" s="17" t="inlineStr">
        <is>
          <t>来所</t>
        </is>
      </c>
      <c r="L27" s="45">
        <f t="shared" si="2"/>
        <v>0</v>
      </c>
    </row>
    <row r="28" spans="1:15">
      <c r="B28" s="74" t="inlineStr">
        <is>
          <t>農総研</t>
        </is>
      </c>
      <c r="C28" s="54">
        <f t="shared" si="0"/>
        <v>0</v>
      </c>
      <c r="D28" s="51" t="inlineStr">
        <is>
          <t>現場</t>
        </is>
      </c>
      <c r="E28" s="45">
        <f>COUNTIF($E$9:$E$21,D28)</f>
        <v>0</v>
      </c>
      <c r="I28" s="35" t="inlineStr">
        <is>
          <t>農総研</t>
        </is>
      </c>
      <c r="J28" s="35">
        <f t="shared" si="1"/>
        <v>0</v>
      </c>
      <c r="K28" s="17" t="inlineStr">
        <is>
          <t>現場</t>
        </is>
      </c>
      <c r="L28" s="45">
        <f t="shared" si="2"/>
        <v>0</v>
      </c>
    </row>
    <row r="29" spans="1:15">
      <c r="B29" s="36" t="inlineStr">
        <is>
          <t>野菜研</t>
        </is>
      </c>
      <c r="C29" s="55">
        <f t="shared" si="0"/>
        <v>0</v>
      </c>
      <c r="D29" s="51" t="inlineStr">
        <is>
          <t>FAX</t>
          <phoneticPr fontId="12"/>
        </is>
      </c>
      <c r="E29" s="45">
        <f t="shared" ref="E29:E31" si="3">COUNTIF($E$9:$E$21,D29)</f>
        <v>0</v>
      </c>
      <c r="I29" s="35" t="inlineStr">
        <is>
          <t>野菜研</t>
        </is>
      </c>
      <c r="J29" s="35">
        <f t="shared" si="1"/>
        <v>0</v>
      </c>
      <c r="K29" s="17" t="inlineStr">
        <is>
          <t>FAX</t>
          <phoneticPr fontId="12"/>
        </is>
      </c>
      <c r="L29" s="45">
        <f t="shared" si="2"/>
        <v>0</v>
      </c>
    </row>
    <row r="30" spans="1:15">
      <c r="B30" s="36" t="inlineStr">
        <is>
          <t>りんご研</t>
        </is>
      </c>
      <c r="C30" s="55">
        <f t="shared" si="0"/>
        <v>0</v>
      </c>
      <c r="D30" s="51" t="inlineStr">
        <is>
          <t>Web</t>
          <phoneticPr fontId="12"/>
        </is>
      </c>
      <c r="E30" s="45">
        <f t="shared" si="3"/>
        <v>0</v>
      </c>
      <c r="I30" s="35" t="inlineStr">
        <is>
          <t>りんご研</t>
        </is>
      </c>
      <c r="J30" s="35">
        <f t="shared" si="1"/>
        <v>0</v>
      </c>
      <c r="K30" s="17" t="inlineStr">
        <is>
          <t>Web</t>
          <phoneticPr fontId="12"/>
        </is>
      </c>
      <c r="L30" s="45">
        <f t="shared" si="2"/>
        <v>0</v>
      </c>
    </row>
    <row r="31" spans="1:15">
      <c r="B31" s="36" t="inlineStr">
        <is>
          <t>畜産研</t>
        </is>
      </c>
      <c r="C31" s="55">
        <f t="shared" si="0"/>
        <v>0</v>
      </c>
      <c r="D31" s="51" t="inlineStr">
        <is>
          <t>その他</t>
        </is>
      </c>
      <c r="E31" s="45">
        <f t="shared" si="3"/>
        <v>0</v>
      </c>
      <c r="I31" s="35" t="inlineStr">
        <is>
          <t>畜産研</t>
        </is>
      </c>
      <c r="J31" s="35">
        <f t="shared" si="1"/>
        <v>0</v>
      </c>
      <c r="K31" s="17" t="inlineStr">
        <is>
          <t>その他</t>
        </is>
      </c>
      <c r="L31" s="45">
        <f t="shared" si="2"/>
        <v>0</v>
      </c>
    </row>
    <row r="32" spans="1:15" ht="15" thickBot="1">
      <c r="B32" s="37" t="inlineStr">
        <is>
          <t>林業研</t>
        </is>
      </c>
      <c r="C32" s="56">
        <f t="shared" si="0"/>
        <v>0</v>
      </c>
      <c r="D32" s="51"/>
      <c r="E32" s="45"/>
      <c r="I32" s="35" t="inlineStr">
        <is>
          <t>林業研</t>
        </is>
      </c>
      <c r="J32" s="35">
        <f t="shared" si="1"/>
        <v>0</v>
      </c>
      <c r="K32" s="17"/>
      <c r="L32" s="45"/>
    </row>
    <row r="33" spans="2:12">
      <c r="B33" s="60" t="inlineStr">
        <is>
          <t>水総研</t>
        </is>
      </c>
      <c r="C33" s="54">
        <f t="shared" si="0"/>
        <v>0</v>
      </c>
      <c r="D33" s="51"/>
      <c r="E33" s="45"/>
      <c r="I33" s="47" t="inlineStr">
        <is>
          <t>水総研</t>
        </is>
      </c>
      <c r="J33" s="47">
        <f t="shared" si="1"/>
        <v>0</v>
      </c>
      <c r="K33" s="17"/>
      <c r="L33" s="45"/>
    </row>
    <row r="34" spans="2:12" ht="15" thickBot="1">
      <c r="B34" s="61" t="inlineStr">
        <is>
          <t>内水研</t>
        </is>
      </c>
      <c r="C34" s="56">
        <f t="shared" si="0"/>
        <v>0</v>
      </c>
      <c r="D34" s="51"/>
      <c r="E34" s="45"/>
      <c r="I34" s="47" t="inlineStr">
        <is>
          <t>内水研</t>
        </is>
      </c>
      <c r="J34" s="47">
        <f t="shared" si="1"/>
        <v>0</v>
      </c>
      <c r="K34" s="17"/>
      <c r="L34" s="45"/>
    </row>
    <row r="35" spans="2:12">
      <c r="B35" s="75" t="inlineStr">
        <is>
          <t>食総研</t>
        </is>
      </c>
      <c r="C35" s="54">
        <f t="shared" si="0"/>
        <v>0</v>
      </c>
      <c r="D35" s="51"/>
      <c r="E35" s="45"/>
      <c r="I35" s="78" t="inlineStr">
        <is>
          <t>食総研</t>
        </is>
      </c>
      <c r="J35" s="78">
        <f t="shared" si="1"/>
        <v>0</v>
      </c>
      <c r="K35" s="17"/>
      <c r="L35" s="45"/>
    </row>
    <row r="36" spans="2:12">
      <c r="B36" s="76" t="inlineStr">
        <is>
          <t>下北研</t>
        </is>
      </c>
      <c r="C36" s="55">
        <f>COUNTIF($C$9:$C$21,B36)</f>
        <v>0</v>
      </c>
      <c r="D36" s="51"/>
      <c r="E36" s="45"/>
      <c r="I36" s="78" t="inlineStr">
        <is>
          <t>下北研</t>
        </is>
      </c>
      <c r="J36" s="78">
        <f t="shared" si="1"/>
        <v>0</v>
      </c>
      <c r="K36" s="17"/>
      <c r="L36" s="45"/>
    </row>
    <row r="37" spans="2:12" ht="15" thickBot="1">
      <c r="B37" s="77" t="inlineStr">
        <is>
          <t>農加研</t>
        </is>
      </c>
      <c r="C37" s="56">
        <f t="shared" si="0"/>
        <v>0</v>
      </c>
      <c r="D37" s="51"/>
      <c r="E37" s="45"/>
      <c r="I37" s="78" t="inlineStr">
        <is>
          <t>農加研</t>
        </is>
      </c>
      <c r="J37" s="78">
        <f t="shared" si="1"/>
        <v>0</v>
      </c>
      <c r="K37" s="17"/>
      <c r="L37" s="45"/>
    </row>
    <row r="38" spans="2:12">
      <c r="B38" s="52" t="inlineStr">
        <is>
          <t>計</t>
          <rPh sb="0" eb="1">
            <t>ケイ</t>
          </rPh>
          <phoneticPr fontId="12"/>
        </is>
      </c>
      <c r="C38" s="53">
        <f>SUM(C25:C37)</f>
        <v>0</v>
      </c>
      <c r="D38" s="29" t="inlineStr">
        <is>
          <t>計</t>
          <rPh sb="0" eb="1">
            <t>ケイ</t>
          </rPh>
          <phoneticPr fontId="12"/>
        </is>
      </c>
      <c r="E38" s="50">
        <f>SUM(E25:E37)</f>
        <v>0</v>
      </c>
      <c r="I38" s="121" t="inlineStr">
        <is>
          <t>計</t>
        </is>
      </c>
      <c r="J38" s="121">
        <f>SUM(J25:J37)</f>
        <v>0</v>
      </c>
      <c r="K38" s="122" t="inlineStr">
        <is>
          <t>計</t>
          <rPh sb="0" eb="1">
            <t>ケイ</t>
          </rPh>
          <phoneticPr fontId="12"/>
        </is>
      </c>
      <c r="L38" s="123">
        <f>SUM(L25:L37)</f>
        <v>0</v>
      </c>
    </row>
  </sheetData>
  <autoFilter ref="A6:O22"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1" xr:uid="{ABDE5AA3-6E7B-45DF-A954-C42B9E0C6DED}">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994B-32C4-4B1E-8971-0C16D92C9D29}">
  <sheetPr>
    <pageSetUpPr fitToPage="1"/>
  </sheetPr>
  <dimension ref="A1:O41"/>
  <sheetViews>
    <sheetView view="pageBreakPreview" topLeftCell="A9" zoomScaleNormal="80" zoomScaleSheetLayoutView="100" workbookViewId="0">
      <selection activeCell="K14" sqref="K14"/>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46"/>
      <c r="G9" s="18"/>
      <c r="H9" s="18"/>
      <c r="I9" s="146"/>
      <c r="J9" s="12"/>
      <c r="K9" s="34"/>
      <c r="L9" s="82"/>
      <c r="M9" s="83"/>
      <c r="N9" s="83"/>
      <c r="O9" s="136"/>
    </row>
    <row r="10" spans="1:15">
      <c r="A10" s="17"/>
      <c r="B10" s="40"/>
      <c r="C10" s="40"/>
      <c r="D10" s="12"/>
      <c r="E10" s="38"/>
      <c r="F10" s="13"/>
      <c r="G10" s="18"/>
      <c r="H10" s="18"/>
      <c r="I10" s="146"/>
      <c r="J10" s="12"/>
      <c r="K10" s="34"/>
      <c r="L10" s="82"/>
      <c r="M10" s="83"/>
      <c r="N10" s="83"/>
      <c r="O10" s="136"/>
    </row>
    <row r="11" spans="1:15">
      <c r="A11" s="17"/>
      <c r="B11" s="40"/>
      <c r="C11" s="40"/>
      <c r="D11" s="12"/>
      <c r="E11" s="38"/>
      <c r="F11" s="13"/>
      <c r="G11" s="18"/>
      <c r="H11" s="18"/>
      <c r="I11" s="146"/>
      <c r="J11" s="12"/>
      <c r="K11" s="34"/>
      <c r="L11" s="82"/>
      <c r="M11" s="83"/>
      <c r="N11" s="83"/>
      <c r="O11" s="136"/>
    </row>
    <row r="12" spans="1:15">
      <c r="A12" s="17"/>
      <c r="B12" s="40"/>
      <c r="C12" s="40"/>
      <c r="D12" s="12"/>
      <c r="E12" s="38"/>
      <c r="F12" s="13"/>
      <c r="G12" s="18"/>
      <c r="H12" s="18"/>
      <c r="I12" s="146"/>
      <c r="J12" s="12"/>
      <c r="K12" s="34"/>
      <c r="L12" s="82"/>
      <c r="M12" s="83"/>
      <c r="N12" s="83"/>
      <c r="O12" s="136"/>
    </row>
    <row r="13" spans="1:15" ht="43.5" customHeight="1">
      <c r="A13" s="17"/>
      <c r="B13" s="40"/>
      <c r="C13" s="40"/>
      <c r="D13" s="12"/>
      <c r="E13" s="38"/>
      <c r="F13" s="146"/>
      <c r="G13" s="18"/>
      <c r="H13" s="18"/>
      <c r="I13" s="146"/>
      <c r="J13" s="12"/>
      <c r="K13" s="34"/>
      <c r="L13" s="82"/>
      <c r="M13" s="83"/>
      <c r="N13" s="83"/>
      <c r="O13" s="136"/>
    </row>
    <row r="14" spans="1:15" ht="43.5" customHeight="1">
      <c r="A14" s="17"/>
      <c r="B14" s="40"/>
      <c r="C14" s="40"/>
      <c r="D14" s="12"/>
      <c r="E14" s="38"/>
      <c r="F14" s="13"/>
      <c r="G14" s="18"/>
      <c r="H14" s="18"/>
      <c r="I14" s="146"/>
      <c r="J14" s="12"/>
      <c r="K14" s="34"/>
      <c r="L14" s="82"/>
      <c r="M14" s="83"/>
      <c r="N14" s="83"/>
      <c r="O14" s="136"/>
    </row>
    <row r="15" spans="1:15">
      <c r="A15" s="17"/>
      <c r="B15" s="40"/>
      <c r="C15" s="40"/>
      <c r="D15" s="12"/>
      <c r="E15" s="38"/>
      <c r="F15" s="146"/>
      <c r="G15" s="18"/>
      <c r="H15" s="18"/>
      <c r="I15" s="146"/>
      <c r="J15" s="12"/>
      <c r="K15" s="34"/>
      <c r="L15" s="82"/>
      <c r="M15" s="83"/>
      <c r="N15" s="83"/>
      <c r="O15" s="136"/>
    </row>
    <row r="16" spans="1:15" ht="43.5" customHeight="1">
      <c r="A16" s="17"/>
      <c r="B16" s="40"/>
      <c r="C16" s="40"/>
      <c r="D16" s="12"/>
      <c r="E16" s="38"/>
      <c r="F16" s="146"/>
      <c r="G16" s="18"/>
      <c r="H16" s="18"/>
      <c r="I16" s="146"/>
      <c r="J16" s="12"/>
      <c r="K16" s="34"/>
      <c r="L16" s="82"/>
      <c r="M16" s="83"/>
      <c r="N16" s="83"/>
      <c r="O16" s="136"/>
    </row>
    <row r="17" spans="1:15">
      <c r="A17" s="17"/>
      <c r="B17" s="40"/>
      <c r="C17" s="40"/>
      <c r="D17" s="12"/>
      <c r="E17" s="38"/>
      <c r="F17" s="13"/>
      <c r="G17" s="18"/>
      <c r="H17" s="18"/>
      <c r="I17" s="146"/>
      <c r="J17" s="12"/>
      <c r="K17" s="34"/>
      <c r="L17" s="82"/>
      <c r="M17" s="83"/>
      <c r="N17" s="83"/>
      <c r="O17" s="136"/>
    </row>
    <row r="18" spans="1:15" ht="43.5" customHeight="1">
      <c r="A18" s="17"/>
      <c r="B18" s="39"/>
      <c r="C18" s="39"/>
      <c r="D18" s="12"/>
      <c r="E18" s="38"/>
      <c r="F18" s="13"/>
      <c r="G18" s="18"/>
      <c r="H18" s="18"/>
      <c r="I18" s="146"/>
      <c r="J18" s="12"/>
      <c r="K18" s="34"/>
      <c r="L18" s="82"/>
      <c r="M18" s="83"/>
      <c r="N18" s="83"/>
      <c r="O18" s="136"/>
    </row>
    <row r="19" spans="1:15" ht="43.5" customHeight="1">
      <c r="A19" s="17"/>
      <c r="B19" s="39"/>
      <c r="C19" s="39"/>
      <c r="D19" s="12"/>
      <c r="E19" s="38"/>
      <c r="F19" s="28"/>
      <c r="G19" s="18"/>
      <c r="H19" s="18"/>
      <c r="I19" s="146"/>
      <c r="J19" s="12"/>
      <c r="K19" s="34"/>
      <c r="L19" s="82"/>
      <c r="M19" s="83"/>
      <c r="N19" s="83"/>
      <c r="O19" s="136"/>
    </row>
    <row r="20" spans="1:15" ht="44.25" customHeight="1">
      <c r="A20" s="17"/>
      <c r="B20" s="39"/>
      <c r="C20" s="39"/>
      <c r="D20" s="12"/>
      <c r="E20" s="38"/>
      <c r="F20" s="28"/>
      <c r="G20" s="18"/>
      <c r="H20" s="18"/>
      <c r="I20" s="146"/>
      <c r="J20" s="12"/>
      <c r="K20" s="34"/>
      <c r="L20" s="82"/>
      <c r="M20" s="83"/>
      <c r="N20" s="83"/>
      <c r="O20" s="136"/>
    </row>
    <row r="21" spans="1:15" ht="42" customHeight="1">
      <c r="A21" s="17"/>
      <c r="B21" s="39"/>
      <c r="C21" s="39"/>
      <c r="D21" s="12"/>
      <c r="E21" s="38"/>
      <c r="F21" s="13"/>
      <c r="G21" s="18"/>
      <c r="H21" s="18"/>
      <c r="I21" s="146"/>
      <c r="J21" s="12"/>
      <c r="K21" s="34"/>
      <c r="L21" s="82"/>
      <c r="M21" s="83"/>
      <c r="N21" s="83"/>
      <c r="O21" s="136"/>
    </row>
    <row r="22" spans="1:15" ht="43.25" customHeight="1">
      <c r="A22" s="17"/>
      <c r="B22" s="39"/>
      <c r="C22" s="39"/>
      <c r="D22" s="12"/>
      <c r="E22" s="38"/>
      <c r="F22" s="13"/>
      <c r="G22" s="18"/>
      <c r="H22" s="18"/>
      <c r="I22" s="146"/>
      <c r="J22" s="12"/>
      <c r="K22" s="34"/>
      <c r="L22" s="118"/>
      <c r="M22" s="119"/>
      <c r="N22" s="119"/>
      <c r="O22" s="137"/>
    </row>
    <row r="23" spans="1:15" ht="40" customHeight="1">
      <c r="A23" s="17"/>
      <c r="B23" s="39"/>
      <c r="C23" s="39"/>
      <c r="D23" s="12"/>
      <c r="E23" s="38"/>
      <c r="F23" s="13"/>
      <c r="G23" s="18"/>
      <c r="H23" s="18"/>
      <c r="I23" s="146"/>
      <c r="J23" s="12"/>
      <c r="K23" s="34"/>
      <c r="L23" s="82"/>
      <c r="M23" s="83"/>
      <c r="N23" s="83"/>
      <c r="O23" s="136"/>
    </row>
    <row r="24" spans="1:15" ht="38.25" customHeight="1" thickBot="1">
      <c r="A24" s="17"/>
      <c r="B24" s="39"/>
      <c r="C24" s="39"/>
      <c r="D24" s="12"/>
      <c r="E24" s="38"/>
      <c r="F24" s="13"/>
      <c r="G24" s="18"/>
      <c r="H24" s="18"/>
      <c r="I24" s="146"/>
      <c r="J24" s="12"/>
      <c r="K24" s="34"/>
      <c r="L24" s="85"/>
      <c r="M24" s="86"/>
      <c r="N24" s="86"/>
      <c r="O24" s="148"/>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3"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COUNTIF($E$9:$E$24,D30)</f>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COUNTIF($E$9:$E$24,D31)</f>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COUNTIF($E$9:$E$24,D34)</f>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6214F658-29D8-4A0E-9248-65BE705832B1}">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5AC4-91A3-4E2A-B1DD-0A4CBB6A45F6}">
  <sheetPr>
    <pageSetUpPr fitToPage="1"/>
  </sheetPr>
  <dimension ref="A1:O41"/>
  <sheetViews>
    <sheetView view="pageBreakPreview" zoomScaleNormal="80" zoomScaleSheetLayoutView="100" workbookViewId="0">
      <selection activeCell="I18" sqref="I18"/>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136"/>
    </row>
    <row r="10" spans="1:15">
      <c r="A10" s="17"/>
      <c r="B10" s="40"/>
      <c r="C10" s="40"/>
      <c r="D10" s="12"/>
      <c r="E10" s="38"/>
      <c r="F10" s="146"/>
      <c r="G10" s="18"/>
      <c r="H10" s="18"/>
      <c r="I10" s="18"/>
      <c r="J10" s="12"/>
      <c r="K10" s="34"/>
      <c r="L10" s="82"/>
      <c r="M10" s="83"/>
      <c r="N10" s="83"/>
      <c r="O10" s="136"/>
    </row>
    <row r="11" spans="1:15">
      <c r="A11" s="17"/>
      <c r="B11" s="40"/>
      <c r="C11" s="40"/>
      <c r="D11" s="12"/>
      <c r="E11" s="38"/>
      <c r="F11" s="146"/>
      <c r="G11" s="18"/>
      <c r="H11" s="18"/>
      <c r="I11" s="18"/>
      <c r="J11" s="12"/>
      <c r="K11" s="34"/>
      <c r="L11" s="82"/>
      <c r="M11" s="83"/>
      <c r="N11" s="83"/>
      <c r="O11" s="136"/>
    </row>
    <row r="12" spans="1:15">
      <c r="A12" s="17"/>
      <c r="B12" s="40"/>
      <c r="C12" s="40"/>
      <c r="D12" s="12"/>
      <c r="E12" s="38"/>
      <c r="F12" s="146"/>
      <c r="G12" s="18"/>
      <c r="H12" s="18"/>
      <c r="I12" s="18"/>
      <c r="J12" s="12"/>
      <c r="K12" s="34"/>
      <c r="L12" s="82"/>
      <c r="M12" s="83"/>
      <c r="N12" s="83"/>
      <c r="O12" s="136"/>
    </row>
    <row r="13" spans="1:15">
      <c r="A13" s="17"/>
      <c r="B13" s="40"/>
      <c r="C13" s="40"/>
      <c r="D13" s="12"/>
      <c r="E13" s="38"/>
      <c r="F13" s="146"/>
      <c r="G13" s="18"/>
      <c r="H13" s="18"/>
      <c r="I13" s="18"/>
      <c r="J13" s="12"/>
      <c r="K13" s="34"/>
      <c r="L13" s="82"/>
      <c r="M13" s="83"/>
      <c r="N13" s="83"/>
      <c r="O13" s="136"/>
    </row>
    <row r="14" spans="1:15">
      <c r="A14" s="17"/>
      <c r="B14" s="40"/>
      <c r="C14" s="40"/>
      <c r="D14" s="12"/>
      <c r="E14" s="38"/>
      <c r="F14" s="18"/>
      <c r="G14" s="18"/>
      <c r="H14" s="18"/>
      <c r="I14" s="18"/>
      <c r="J14" s="12"/>
      <c r="K14" s="34"/>
      <c r="L14" s="82"/>
      <c r="M14" s="83"/>
      <c r="N14" s="83"/>
      <c r="O14" s="136"/>
    </row>
    <row r="15" spans="1:15">
      <c r="A15" s="17"/>
      <c r="B15" s="40"/>
      <c r="C15" s="40"/>
      <c r="D15" s="12"/>
      <c r="E15" s="38"/>
      <c r="F15" s="146"/>
      <c r="G15" s="18"/>
      <c r="H15" s="18"/>
      <c r="I15" s="18"/>
      <c r="J15" s="12"/>
      <c r="K15" s="34"/>
      <c r="L15" s="82"/>
      <c r="M15" s="83"/>
      <c r="N15" s="83"/>
      <c r="O15" s="136"/>
    </row>
    <row r="16" spans="1:15">
      <c r="A16" s="17"/>
      <c r="B16" s="40"/>
      <c r="C16" s="40"/>
      <c r="D16" s="12"/>
      <c r="E16" s="38"/>
      <c r="F16" s="18"/>
      <c r="G16" s="18"/>
      <c r="H16" s="18"/>
      <c r="I16" s="18"/>
      <c r="J16" s="12"/>
      <c r="K16" s="34"/>
      <c r="L16" s="82"/>
      <c r="M16" s="83"/>
      <c r="N16" s="83"/>
      <c r="O16" s="136"/>
    </row>
    <row r="17" spans="1:15" ht="43.5" customHeight="1">
      <c r="A17" s="17"/>
      <c r="B17" s="39"/>
      <c r="C17" s="39"/>
      <c r="D17" s="12"/>
      <c r="E17" s="38"/>
      <c r="F17" s="13"/>
      <c r="G17" s="13"/>
      <c r="H17" s="13"/>
      <c r="I17" s="13"/>
      <c r="J17" s="12"/>
      <c r="K17" s="34"/>
      <c r="L17" s="82"/>
      <c r="M17" s="83"/>
      <c r="N17" s="83"/>
      <c r="O17" s="136"/>
    </row>
    <row r="18" spans="1:15" ht="43.5" customHeight="1">
      <c r="A18" s="17"/>
      <c r="B18" s="39"/>
      <c r="C18" s="39"/>
      <c r="D18" s="12"/>
      <c r="E18" s="38"/>
      <c r="F18" s="13"/>
      <c r="G18" s="13"/>
      <c r="H18" s="13"/>
      <c r="I18" s="13"/>
      <c r="J18" s="12"/>
      <c r="K18" s="34"/>
      <c r="L18" s="82"/>
      <c r="M18" s="83"/>
      <c r="N18" s="83"/>
      <c r="O18" s="136"/>
    </row>
    <row r="19" spans="1:15" ht="43.5" customHeight="1">
      <c r="A19" s="17"/>
      <c r="B19" s="39"/>
      <c r="C19" s="39"/>
      <c r="D19" s="12"/>
      <c r="E19" s="38"/>
      <c r="F19" s="28"/>
      <c r="G19" s="13"/>
      <c r="H19" s="13"/>
      <c r="I19" s="13"/>
      <c r="J19" s="12"/>
      <c r="K19" s="34"/>
      <c r="L19" s="82"/>
      <c r="M19" s="83"/>
      <c r="N19" s="83"/>
      <c r="O19" s="136"/>
    </row>
    <row r="20" spans="1:15" ht="44.25" customHeight="1">
      <c r="A20" s="17"/>
      <c r="B20" s="39"/>
      <c r="C20" s="39"/>
      <c r="D20" s="12"/>
      <c r="E20" s="38"/>
      <c r="F20" s="28"/>
      <c r="G20" s="13"/>
      <c r="H20" s="13"/>
      <c r="I20" s="13"/>
      <c r="J20" s="12"/>
      <c r="K20" s="34"/>
      <c r="L20" s="82"/>
      <c r="M20" s="83"/>
      <c r="N20" s="83"/>
      <c r="O20" s="136"/>
    </row>
    <row r="21" spans="1:15" ht="42" customHeight="1">
      <c r="A21" s="17"/>
      <c r="B21" s="39"/>
      <c r="C21" s="39"/>
      <c r="D21" s="12"/>
      <c r="E21" s="38"/>
      <c r="F21" s="13"/>
      <c r="G21" s="13"/>
      <c r="H21" s="13"/>
      <c r="I21" s="13"/>
      <c r="J21" s="12"/>
      <c r="K21" s="34"/>
      <c r="L21" s="82"/>
      <c r="M21" s="83"/>
      <c r="N21" s="83"/>
      <c r="O21" s="136"/>
    </row>
    <row r="22" spans="1:15" ht="43.25" customHeight="1">
      <c r="A22" s="17"/>
      <c r="B22" s="39"/>
      <c r="C22" s="39"/>
      <c r="D22" s="12"/>
      <c r="E22" s="38"/>
      <c r="F22" s="13"/>
      <c r="G22" s="13"/>
      <c r="H22" s="13"/>
      <c r="I22" s="13"/>
      <c r="J22" s="12"/>
      <c r="K22" s="34"/>
      <c r="L22" s="118"/>
      <c r="M22" s="119"/>
      <c r="N22" s="119"/>
      <c r="O22" s="137"/>
    </row>
    <row r="23" spans="1:15" ht="40" customHeight="1">
      <c r="A23" s="17"/>
      <c r="B23" s="39"/>
      <c r="C23" s="39"/>
      <c r="D23" s="12"/>
      <c r="E23" s="38"/>
      <c r="F23" s="13"/>
      <c r="G23" s="13"/>
      <c r="H23" s="13"/>
      <c r="I23" s="13"/>
      <c r="J23" s="12"/>
      <c r="K23" s="34"/>
      <c r="L23" s="82"/>
      <c r="M23" s="83"/>
      <c r="N23" s="83"/>
      <c r="O23" s="136"/>
    </row>
    <row r="24" spans="1:15" ht="38.25" customHeight="1" thickBot="1">
      <c r="A24" s="17"/>
      <c r="B24" s="39"/>
      <c r="C24" s="39"/>
      <c r="D24" s="12"/>
      <c r="E24" s="38"/>
      <c r="F24" s="13"/>
      <c r="G24" s="13"/>
      <c r="H24" s="13"/>
      <c r="I24" s="13"/>
      <c r="J24" s="12"/>
      <c r="K24" s="34"/>
      <c r="L24" s="85"/>
      <c r="M24" s="86"/>
      <c r="N24" s="86"/>
      <c r="O24" s="148"/>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 t="shared" ref="C28:C40" si="0">COUNTIF($C$9:$C$24,B28)</f>
        <v>0</v>
      </c>
      <c r="D28" s="51" t="inlineStr">
        <is>
          <t>電話</t>
        </is>
      </c>
      <c r="E28" s="45">
        <f t="shared" ref="E28:E34" si="1">COUNTIF($E$9:$E$24,D28)</f>
        <v>0</v>
      </c>
      <c r="I28" s="46" t="inlineStr">
        <is>
          <t>工総研</t>
        </is>
      </c>
      <c r="J28" s="46">
        <f t="shared" ref="J28:J40" si="2">SUMIF($C$9:$C$24,I28,$J$9:$J$24)</f>
        <v>0</v>
      </c>
      <c r="K28" s="17" t="inlineStr">
        <is>
          <t>電話</t>
        </is>
      </c>
      <c r="L28" s="45">
        <f t="shared" ref="L28:L34" si="3">SUMIF($E$9:$E$24,K28,$J$9:$J$24)</f>
        <v>0</v>
      </c>
    </row>
    <row r="29" spans="1:15">
      <c r="B29" s="58" t="inlineStr">
        <is>
          <t>弘工研</t>
        </is>
      </c>
      <c r="C29" s="55">
        <f t="shared" si="0"/>
        <v>0</v>
      </c>
      <c r="D29" s="51" t="inlineStr">
        <is>
          <t>メール</t>
        </is>
      </c>
      <c r="E29" s="45">
        <f t="shared" si="1"/>
        <v>0</v>
      </c>
      <c r="I29" s="46" t="inlineStr">
        <is>
          <t>弘工研</t>
        </is>
      </c>
      <c r="J29" s="46">
        <f t="shared" si="2"/>
        <v>0</v>
      </c>
      <c r="K29" s="17" t="inlineStr">
        <is>
          <t>メール</t>
        </is>
      </c>
      <c r="L29" s="45">
        <f t="shared" si="3"/>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 t="shared" si="1"/>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DADBD9DF-48BC-4702-A7B7-CDCC895F479E}">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F060-3100-4C71-8A4A-E91A2C4DC953}">
  <sheetPr>
    <pageSetUpPr fitToPage="1"/>
  </sheetPr>
  <dimension ref="A1:O41"/>
  <sheetViews>
    <sheetView view="pageBreakPreview" topLeftCell="A16" zoomScaleNormal="80" zoomScaleSheetLayoutView="100" workbookViewId="0">
      <selection activeCell="D10" sqref="D10"/>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120">
      <c r="A9" s="17"/>
      <c r="B9" s="40"/>
      <c r="C9" s="40"/>
      <c r="D9" s="12"/>
      <c r="E9" s="38"/>
      <c r="F9" s="18"/>
      <c r="G9" s="18"/>
      <c r="H9" s="18"/>
      <c r="I9" s="18"/>
      <c r="J9" s="12"/>
      <c r="K9" s="34"/>
      <c r="L9" s="82"/>
      <c r="M9" s="83"/>
      <c r="N9" s="83"/>
      <c r="O9" s="136"/>
    </row>
    <row r="10" spans="1:15" ht="90">
      <c r="A10" s="17"/>
      <c r="B10" s="40"/>
      <c r="C10" s="40"/>
      <c r="D10" s="12"/>
      <c r="E10" s="38"/>
      <c r="F10" s="18"/>
      <c r="G10" s="18"/>
      <c r="H10" s="18"/>
      <c r="I10" s="18"/>
      <c r="J10" s="12"/>
      <c r="K10" s="34"/>
      <c r="L10" s="82"/>
      <c r="M10" s="83"/>
      <c r="N10" s="83"/>
      <c r="O10" s="136"/>
    </row>
    <row r="11" spans="1:15" ht="43.5" customHeight="1">
      <c r="A11" s="17"/>
      <c r="B11" s="40"/>
      <c r="C11" s="40"/>
      <c r="D11" s="12"/>
      <c r="E11" s="38"/>
      <c r="F11" s="147"/>
      <c r="G11" s="18"/>
      <c r="H11" s="18"/>
      <c r="I11" s="18"/>
      <c r="J11" s="12"/>
      <c r="K11" s="34"/>
      <c r="L11" s="82"/>
      <c r="M11" s="83"/>
      <c r="N11" s="83"/>
      <c r="O11" s="136"/>
    </row>
    <row r="12" spans="1:15" ht="60">
      <c r="A12" s="17"/>
      <c r="B12" s="40"/>
      <c r="C12" s="40"/>
      <c r="D12" s="12"/>
      <c r="E12" s="38"/>
      <c r="F12" s="18"/>
      <c r="G12" s="18"/>
      <c r="H12" s="18"/>
      <c r="I12" s="18"/>
      <c r="J12" s="12"/>
      <c r="K12" s="34"/>
      <c r="L12" s="82"/>
      <c r="M12" s="83"/>
      <c r="N12" s="83"/>
      <c r="O12" s="136"/>
    </row>
    <row r="13" spans="1:15" ht="43.5" customHeight="1">
      <c r="A13" s="17"/>
      <c r="B13" s="40"/>
      <c r="C13" s="40"/>
      <c r="D13" s="12"/>
      <c r="E13" s="38"/>
      <c r="F13" s="18"/>
      <c r="G13" s="18"/>
      <c r="H13" s="18"/>
      <c r="I13" s="18"/>
      <c r="J13" s="12"/>
      <c r="K13" s="34"/>
      <c r="L13" s="82"/>
      <c r="M13" s="83"/>
      <c r="N13" s="83"/>
      <c r="O13" s="136"/>
    </row>
    <row r="14" spans="1:15" ht="45">
      <c r="A14" s="17"/>
      <c r="B14" s="40"/>
      <c r="C14" s="40"/>
      <c r="D14" s="12"/>
      <c r="E14" s="38"/>
      <c r="F14" s="147"/>
      <c r="G14" s="18"/>
      <c r="H14" s="18"/>
      <c r="I14" s="18"/>
      <c r="J14" s="12"/>
      <c r="K14" s="34"/>
      <c r="L14" s="82"/>
      <c r="M14" s="83"/>
      <c r="N14" s="83"/>
      <c r="O14" s="136"/>
    </row>
    <row r="15" spans="1:15" ht="60">
      <c r="A15" s="17"/>
      <c r="B15" s="40"/>
      <c r="C15" s="40"/>
      <c r="D15" s="12"/>
      <c r="E15" s="38"/>
      <c r="F15" s="146"/>
      <c r="G15" s="18"/>
      <c r="H15" s="18"/>
      <c r="I15" s="18"/>
      <c r="J15" s="12"/>
      <c r="K15" s="34"/>
      <c r="L15" s="82"/>
      <c r="M15" s="83"/>
      <c r="N15" s="83"/>
      <c r="O15" s="136"/>
    </row>
    <row r="16" spans="1:15" ht="43.5" customHeight="1">
      <c r="A16" s="17"/>
      <c r="B16" s="40"/>
      <c r="C16" s="40"/>
      <c r="D16" s="12"/>
      <c r="E16" s="38"/>
      <c r="F16" s="146"/>
      <c r="G16" s="18"/>
      <c r="H16" s="18"/>
      <c r="I16" s="18"/>
      <c r="J16" s="12"/>
      <c r="K16" s="34"/>
      <c r="L16" s="82"/>
      <c r="M16" s="83"/>
      <c r="N16" s="83"/>
      <c r="O16" s="136"/>
    </row>
    <row r="17" spans="1:15" ht="43.5" customHeight="1">
      <c r="A17" s="17"/>
      <c r="B17" s="39"/>
      <c r="C17" s="39"/>
      <c r="D17" s="12"/>
      <c r="E17" s="38"/>
      <c r="F17" s="18"/>
      <c r="G17" s="18"/>
      <c r="H17" s="18"/>
      <c r="I17" s="18"/>
      <c r="J17" s="12"/>
      <c r="K17" s="34"/>
      <c r="L17" s="82"/>
      <c r="M17" s="83"/>
      <c r="N17" s="83"/>
      <c r="O17" s="136"/>
    </row>
    <row r="18" spans="1:15" ht="43.5" customHeight="1">
      <c r="A18" s="17"/>
      <c r="B18" s="39"/>
      <c r="C18" s="39"/>
      <c r="D18" s="12"/>
      <c r="E18" s="38"/>
      <c r="F18" s="18"/>
      <c r="G18" s="18"/>
      <c r="H18" s="18"/>
      <c r="I18" s="18"/>
      <c r="J18" s="12"/>
      <c r="K18" s="34"/>
      <c r="L18" s="82"/>
      <c r="M18" s="83"/>
      <c r="N18" s="83"/>
      <c r="O18" s="136"/>
    </row>
    <row r="19" spans="1:15" ht="43.5" customHeight="1">
      <c r="A19" s="17"/>
      <c r="B19" s="39"/>
      <c r="C19" s="39"/>
      <c r="D19" s="12"/>
      <c r="E19" s="38"/>
      <c r="F19" s="146"/>
      <c r="G19" s="18"/>
      <c r="H19" s="18"/>
      <c r="I19" s="18"/>
      <c r="J19" s="12"/>
      <c r="K19" s="34"/>
      <c r="L19" s="82"/>
      <c r="M19" s="83"/>
      <c r="N19" s="83"/>
      <c r="O19" s="136"/>
    </row>
    <row r="20" spans="1:15" ht="44.25" customHeight="1">
      <c r="A20" s="17"/>
      <c r="B20" s="39"/>
      <c r="C20" s="39"/>
      <c r="D20" s="12"/>
      <c r="E20" s="38"/>
      <c r="F20" s="146"/>
      <c r="G20" s="18"/>
      <c r="H20" s="18"/>
      <c r="I20" s="18"/>
      <c r="J20" s="12"/>
      <c r="K20" s="34"/>
      <c r="L20" s="82"/>
      <c r="M20" s="83"/>
      <c r="N20" s="83"/>
      <c r="O20" s="136"/>
    </row>
    <row r="21" spans="1:15" ht="42" customHeight="1">
      <c r="A21" s="17"/>
      <c r="B21" s="39"/>
      <c r="C21" s="39"/>
      <c r="D21" s="12"/>
      <c r="E21" s="38"/>
      <c r="F21" s="18"/>
      <c r="G21" s="18"/>
      <c r="H21" s="18"/>
      <c r="I21" s="18"/>
      <c r="J21" s="12"/>
      <c r="K21" s="34"/>
      <c r="L21" s="82"/>
      <c r="M21" s="83"/>
      <c r="N21" s="83"/>
      <c r="O21" s="136"/>
    </row>
    <row r="22" spans="1:15" ht="43.25" customHeight="1">
      <c r="A22" s="17"/>
      <c r="B22" s="39"/>
      <c r="C22" s="39"/>
      <c r="D22" s="12"/>
      <c r="E22" s="38"/>
      <c r="F22" s="18"/>
      <c r="G22" s="18"/>
      <c r="H22" s="18"/>
      <c r="I22" s="18"/>
      <c r="J22" s="12"/>
      <c r="K22" s="34"/>
      <c r="L22" s="118"/>
      <c r="M22" s="119"/>
      <c r="N22" s="119"/>
      <c r="O22" s="137"/>
    </row>
    <row r="23" spans="1:15" ht="40" customHeight="1">
      <c r="A23" s="17"/>
      <c r="B23" s="39"/>
      <c r="C23" s="39"/>
      <c r="D23" s="12"/>
      <c r="E23" s="38"/>
      <c r="F23" s="18"/>
      <c r="G23" s="18"/>
      <c r="H23" s="18"/>
      <c r="I23" s="18"/>
      <c r="J23" s="12"/>
      <c r="K23" s="34"/>
      <c r="L23" s="82"/>
      <c r="M23" s="83"/>
      <c r="N23" s="83"/>
      <c r="O23" s="136"/>
    </row>
    <row r="24" spans="1:15" ht="38.25" customHeight="1" thickBot="1">
      <c r="A24" s="17"/>
      <c r="B24" s="39"/>
      <c r="C24" s="39"/>
      <c r="D24" s="12"/>
      <c r="E24" s="38"/>
      <c r="F24" s="18"/>
      <c r="G24" s="18"/>
      <c r="H24" s="18"/>
      <c r="I24" s="18"/>
      <c r="J24" s="12"/>
      <c r="K24" s="34"/>
      <c r="L24" s="85"/>
      <c r="M24" s="86"/>
      <c r="N24" s="86"/>
      <c r="O24" s="148"/>
    </row>
    <row r="25" spans="1:15" ht="26.25" customHeight="1">
      <c r="A25" s="49"/>
      <c r="E25" s="62">
        <f>SUM(E9:E24)</f>
        <v>0</v>
      </c>
      <c r="J25" s="124">
        <f>SUM(J9:J24)</f>
        <v>8</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3</v>
      </c>
      <c r="I28" s="46" t="inlineStr">
        <is>
          <t>工総研</t>
        </is>
      </c>
      <c r="J28" s="46">
        <f>SUMIF($C$9:$C$24,I28,$J$9:$J$24)</f>
        <v>0</v>
      </c>
      <c r="K28" s="17" t="inlineStr">
        <is>
          <t>電話</t>
        </is>
      </c>
      <c r="L28" s="45">
        <f>SUMIF($E$9:$E$24,K28,$J$9:$J$24)</f>
        <v>3</v>
      </c>
    </row>
    <row r="29" spans="1:15">
      <c r="B29" s="58" t="inlineStr">
        <is>
          <t>弘工研</t>
        </is>
      </c>
      <c r="C29" s="55">
        <f t="shared" ref="C29:C40" si="0">COUNTIF($C$9:$C$24,B29)</f>
        <v>0</v>
      </c>
      <c r="D29" s="51" t="inlineStr">
        <is>
          <t>メール</t>
        </is>
      </c>
      <c r="E29" s="45">
        <f>COUNTIF($E$9:$E$24,D29)</f>
        <v>2</v>
      </c>
      <c r="I29" s="46" t="inlineStr">
        <is>
          <t>弘工研</t>
        </is>
      </c>
      <c r="J29" s="46">
        <f t="shared" ref="J29:J40" si="1">SUMIF($C$9:$C$24,I29,$J$9:$J$24)</f>
        <v>0</v>
      </c>
      <c r="K29" s="17" t="inlineStr">
        <is>
          <t>メール</t>
        </is>
      </c>
      <c r="L29" s="45">
        <f t="shared" ref="L29:L34" si="2">SUMIF($E$9:$E$24,K29,$J$9:$J$24)</f>
        <v>2</v>
      </c>
    </row>
    <row r="30" spans="1:15" ht="15" thickBot="1">
      <c r="B30" s="59" t="inlineStr">
        <is>
          <t>八工研</t>
        </is>
      </c>
      <c r="C30" s="56">
        <f t="shared" si="0"/>
        <v>0</v>
      </c>
      <c r="D30" s="51" t="inlineStr">
        <is>
          <t>来所</t>
        </is>
      </c>
      <c r="E30" s="45">
        <f>COUNTIF($E$9:$E$24,D30)</f>
        <v>2</v>
      </c>
      <c r="I30" s="46" t="inlineStr">
        <is>
          <t>八工研</t>
        </is>
      </c>
      <c r="J30" s="46">
        <f t="shared" si="1"/>
        <v>0</v>
      </c>
      <c r="K30" s="17" t="inlineStr">
        <is>
          <t>来所</t>
        </is>
      </c>
      <c r="L30" s="45">
        <f t="shared" si="2"/>
        <v>2</v>
      </c>
    </row>
    <row r="31" spans="1:15">
      <c r="B31" s="74" t="inlineStr">
        <is>
          <t>農総研</t>
        </is>
      </c>
      <c r="C31" s="54">
        <f t="shared" si="0"/>
        <v>0</v>
      </c>
      <c r="D31" s="51" t="inlineStr">
        <is>
          <t>現場</t>
        </is>
      </c>
      <c r="E31" s="45">
        <f t="shared" ref="E31:E34" si="3">COUNTIF($E$9:$E$24,D31)</f>
        <v>1</v>
      </c>
      <c r="I31" s="35" t="inlineStr">
        <is>
          <t>農総研</t>
        </is>
      </c>
      <c r="J31" s="35">
        <f t="shared" si="1"/>
        <v>0</v>
      </c>
      <c r="K31" s="17" t="inlineStr">
        <is>
          <t>現場</t>
        </is>
      </c>
      <c r="L31" s="45">
        <f t="shared" si="2"/>
        <v>1</v>
      </c>
    </row>
    <row r="32" spans="1:15">
      <c r="B32" s="36" t="inlineStr">
        <is>
          <t>野菜研</t>
        </is>
      </c>
      <c r="C32" s="55">
        <f t="shared" si="0"/>
        <v>0</v>
      </c>
      <c r="D32" s="51" t="inlineStr">
        <is>
          <t>FAX</t>
          <phoneticPr fontId="12"/>
        </is>
      </c>
      <c r="E32" s="45">
        <f t="shared" si="3"/>
        <v>0</v>
      </c>
      <c r="I32" s="35" t="inlineStr">
        <is>
          <t>野菜研</t>
        </is>
      </c>
      <c r="J32" s="35">
        <f t="shared" si="1"/>
        <v>0</v>
      </c>
      <c r="K32" s="17" t="inlineStr">
        <is>
          <t>FAX</t>
          <phoneticPr fontId="12"/>
        </is>
      </c>
      <c r="L32" s="45">
        <f t="shared" si="2"/>
        <v>0</v>
      </c>
    </row>
    <row r="33" spans="2:12">
      <c r="B33" s="36" t="inlineStr">
        <is>
          <t>りんご研</t>
        </is>
      </c>
      <c r="C33" s="55">
        <f t="shared" si="0"/>
        <v>0</v>
      </c>
      <c r="D33" s="51" t="inlineStr">
        <is>
          <t>Web</t>
          <phoneticPr fontId="12"/>
        </is>
      </c>
      <c r="E33" s="45">
        <f t="shared" si="3"/>
        <v>0</v>
      </c>
      <c r="I33" s="35" t="inlineStr">
        <is>
          <t>りんご研</t>
        </is>
      </c>
      <c r="J33" s="35">
        <f t="shared" si="1"/>
        <v>0</v>
      </c>
      <c r="K33" s="17" t="inlineStr">
        <is>
          <t>Web</t>
          <phoneticPr fontId="12"/>
        </is>
      </c>
      <c r="L33" s="45">
        <f t="shared" si="2"/>
        <v>0</v>
      </c>
    </row>
    <row r="34" spans="2:12">
      <c r="B34" s="36" t="inlineStr">
        <is>
          <t>畜産研</t>
        </is>
      </c>
      <c r="C34" s="55">
        <f t="shared" si="0"/>
        <v>0</v>
      </c>
      <c r="D34" s="51" t="inlineStr">
        <is>
          <t>その他</t>
        </is>
      </c>
      <c r="E34" s="45">
        <f t="shared" si="3"/>
        <v>0</v>
      </c>
      <c r="I34" s="35" t="inlineStr">
        <is>
          <t>畜産研</t>
        </is>
      </c>
      <c r="J34" s="35">
        <f t="shared" si="1"/>
        <v>0</v>
      </c>
      <c r="K34" s="17" t="inlineStr">
        <is>
          <t>その他</t>
        </is>
      </c>
      <c r="L34" s="45">
        <f t="shared" si="2"/>
        <v>0</v>
      </c>
    </row>
    <row r="35" spans="2:12" ht="15" thickBot="1">
      <c r="B35" s="37" t="inlineStr">
        <is>
          <t>林業研</t>
        </is>
      </c>
      <c r="C35" s="56">
        <f t="shared" si="0"/>
        <v>0</v>
      </c>
      <c r="D35" s="51"/>
      <c r="E35" s="45"/>
      <c r="I35" s="35" t="inlineStr">
        <is>
          <t>林業研</t>
        </is>
      </c>
      <c r="J35" s="35">
        <f t="shared" si="1"/>
        <v>0</v>
      </c>
      <c r="K35" s="17"/>
      <c r="L35" s="45"/>
    </row>
    <row r="36" spans="2:12">
      <c r="B36" s="60" t="inlineStr">
        <is>
          <t>水総研</t>
        </is>
      </c>
      <c r="C36" s="54">
        <f t="shared" si="0"/>
        <v>0</v>
      </c>
      <c r="D36" s="51"/>
      <c r="E36" s="45"/>
      <c r="I36" s="47" t="inlineStr">
        <is>
          <t>水総研</t>
        </is>
      </c>
      <c r="J36" s="47">
        <f t="shared" si="1"/>
        <v>0</v>
      </c>
      <c r="K36" s="17"/>
      <c r="L36" s="45"/>
    </row>
    <row r="37" spans="2:12" ht="15" thickBot="1">
      <c r="B37" s="61" t="inlineStr">
        <is>
          <t>内水研</t>
        </is>
      </c>
      <c r="C37" s="56">
        <f t="shared" si="0"/>
        <v>0</v>
      </c>
      <c r="D37" s="51"/>
      <c r="E37" s="45"/>
      <c r="I37" s="47" t="inlineStr">
        <is>
          <t>内水研</t>
        </is>
      </c>
      <c r="J37" s="47">
        <f t="shared" si="1"/>
        <v>0</v>
      </c>
      <c r="K37" s="17"/>
      <c r="L37" s="45"/>
    </row>
    <row r="38" spans="2:12">
      <c r="B38" s="75" t="inlineStr">
        <is>
          <t>食総研</t>
        </is>
      </c>
      <c r="C38" s="54">
        <f t="shared" si="0"/>
        <v>0</v>
      </c>
      <c r="D38" s="51"/>
      <c r="E38" s="45"/>
      <c r="I38" s="78" t="inlineStr">
        <is>
          <t>食総研</t>
        </is>
      </c>
      <c r="J38" s="78">
        <f t="shared" si="1"/>
        <v>0</v>
      </c>
      <c r="K38" s="17"/>
      <c r="L38" s="45"/>
    </row>
    <row r="39" spans="2:12">
      <c r="B39" s="76" t="inlineStr">
        <is>
          <t>下北研</t>
        </is>
      </c>
      <c r="C39" s="55">
        <f t="shared" si="0"/>
        <v>8</v>
      </c>
      <c r="D39" s="51"/>
      <c r="E39" s="45"/>
      <c r="I39" s="78" t="inlineStr">
        <is>
          <t>下北研</t>
        </is>
      </c>
      <c r="J39" s="78">
        <f t="shared" si="1"/>
        <v>8</v>
      </c>
      <c r="K39" s="17"/>
      <c r="L39" s="45"/>
    </row>
    <row r="40" spans="2:12" ht="15" thickBot="1">
      <c r="B40" s="77" t="inlineStr">
        <is>
          <t>農加研</t>
        </is>
      </c>
      <c r="C40" s="56">
        <f t="shared" si="0"/>
        <v>0</v>
      </c>
      <c r="D40" s="51"/>
      <c r="E40" s="45"/>
      <c r="I40" s="78" t="inlineStr">
        <is>
          <t>農加研</t>
        </is>
      </c>
      <c r="J40" s="78">
        <f t="shared" si="1"/>
        <v>0</v>
      </c>
      <c r="K40" s="17"/>
      <c r="L40" s="45"/>
    </row>
    <row r="41" spans="2:12">
      <c r="B41" s="52" t="inlineStr">
        <is>
          <t>計</t>
          <rPh sb="0" eb="1">
            <t>ケイ</t>
          </rPh>
          <phoneticPr fontId="12"/>
        </is>
      </c>
      <c r="C41" s="53">
        <f>SUM(C28:C40)</f>
        <v>8</v>
      </c>
      <c r="D41" s="29" t="inlineStr">
        <is>
          <t>計</t>
          <rPh sb="0" eb="1">
            <t>ケイ</t>
          </rPh>
          <phoneticPr fontId="12"/>
        </is>
      </c>
      <c r="E41" s="50">
        <f>SUM(E28:E40)</f>
        <v>8</v>
      </c>
      <c r="I41" s="121" t="inlineStr">
        <is>
          <t>計</t>
        </is>
      </c>
      <c r="J41" s="121">
        <f>SUM(J28:J40)</f>
        <v>8</v>
      </c>
      <c r="K41" s="122" t="inlineStr">
        <is>
          <t>計</t>
          <rPh sb="0" eb="1">
            <t>ケイ</t>
          </rPh>
          <phoneticPr fontId="12"/>
        </is>
      </c>
      <c r="L41" s="123">
        <f>SUM(L28:L40)</f>
        <v>8</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E4803F56-A603-4E4D-965A-28588E1A4267}">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7AF1C-0DC9-4678-B7CA-F6B5E3F94A65}">
  <sheetPr>
    <pageSetUpPr fitToPage="1"/>
  </sheetPr>
  <dimension ref="A1:O41"/>
  <sheetViews>
    <sheetView view="pageBreakPreview" zoomScaleNormal="80" zoomScaleSheetLayoutView="100" workbookViewId="0">
      <selection activeCell="N20" sqref="N20"/>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149"/>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c r="A9" s="17"/>
      <c r="B9" s="40"/>
      <c r="C9" s="40"/>
      <c r="D9" s="12"/>
      <c r="E9" s="38"/>
      <c r="F9" s="18"/>
      <c r="G9" s="146"/>
      <c r="H9" s="18"/>
      <c r="I9" s="147"/>
      <c r="J9" s="12"/>
      <c r="K9" s="34"/>
      <c r="L9" s="82"/>
      <c r="M9" s="83"/>
      <c r="N9" s="83"/>
      <c r="O9" s="136"/>
    </row>
    <row r="10" spans="1:15" ht="41.25" customHeight="1">
      <c r="A10" s="17"/>
      <c r="B10" s="40"/>
      <c r="C10" s="40"/>
      <c r="D10" s="12"/>
      <c r="E10" s="38"/>
      <c r="F10" s="146"/>
      <c r="G10" s="146"/>
      <c r="H10" s="18"/>
      <c r="I10" s="18"/>
      <c r="J10" s="12"/>
      <c r="K10" s="34"/>
      <c r="L10" s="82"/>
      <c r="M10" s="83"/>
      <c r="N10" s="83"/>
      <c r="O10" s="136"/>
    </row>
    <row r="11" spans="1:15" ht="43.5" customHeight="1">
      <c r="A11" s="17"/>
      <c r="B11" s="40"/>
      <c r="C11" s="40"/>
      <c r="D11" s="12"/>
      <c r="E11" s="38"/>
      <c r="F11" s="146"/>
      <c r="G11" s="18"/>
      <c r="H11" s="18"/>
      <c r="I11" s="18"/>
      <c r="J11" s="12"/>
      <c r="K11" s="34"/>
      <c r="L11" s="82"/>
      <c r="M11" s="83"/>
      <c r="N11" s="83"/>
      <c r="O11" s="136"/>
    </row>
    <row r="12" spans="1:15">
      <c r="A12" s="17"/>
      <c r="B12" s="40"/>
      <c r="C12" s="40"/>
      <c r="D12" s="12"/>
      <c r="E12" s="38"/>
      <c r="F12" s="146"/>
      <c r="G12" s="18"/>
      <c r="H12" s="18"/>
      <c r="I12" s="18"/>
      <c r="J12" s="12"/>
      <c r="K12" s="34"/>
      <c r="L12" s="82"/>
      <c r="M12" s="83"/>
      <c r="N12" s="83"/>
      <c r="O12" s="136"/>
    </row>
    <row r="13" spans="1:15">
      <c r="A13" s="17"/>
      <c r="B13" s="40"/>
      <c r="C13" s="40"/>
      <c r="D13" s="12"/>
      <c r="E13" s="38"/>
      <c r="F13" s="146"/>
      <c r="G13" s="18"/>
      <c r="H13" s="18"/>
      <c r="I13" s="18"/>
      <c r="J13" s="12"/>
      <c r="K13" s="34"/>
      <c r="L13" s="82"/>
      <c r="M13" s="83"/>
      <c r="N13" s="83"/>
      <c r="O13" s="136"/>
    </row>
    <row r="14" spans="1:15">
      <c r="A14" s="17"/>
      <c r="B14" s="40"/>
      <c r="C14" s="40"/>
      <c r="D14" s="12"/>
      <c r="E14" s="38"/>
      <c r="F14" s="18"/>
      <c r="G14" s="18"/>
      <c r="H14" s="18"/>
      <c r="I14" s="18"/>
      <c r="J14" s="12"/>
      <c r="K14" s="34"/>
      <c r="L14" s="82"/>
      <c r="M14" s="83"/>
      <c r="N14" s="83"/>
      <c r="O14" s="136"/>
    </row>
    <row r="15" spans="1:15">
      <c r="A15" s="17"/>
      <c r="B15" s="40"/>
      <c r="C15" s="40"/>
      <c r="D15" s="12"/>
      <c r="E15" s="38"/>
      <c r="F15" s="18"/>
      <c r="G15" s="18"/>
      <c r="H15" s="18"/>
      <c r="I15" s="18"/>
      <c r="J15" s="12"/>
      <c r="K15" s="34"/>
      <c r="L15" s="82"/>
      <c r="M15" s="83"/>
      <c r="N15" s="83"/>
      <c r="O15" s="136"/>
    </row>
    <row r="16" spans="1:15">
      <c r="A16" s="17"/>
      <c r="B16" s="40"/>
      <c r="C16" s="40"/>
      <c r="D16" s="12"/>
      <c r="E16" s="38"/>
      <c r="F16" s="146"/>
      <c r="G16" s="18"/>
      <c r="H16" s="18"/>
      <c r="I16" s="18"/>
      <c r="J16" s="12"/>
      <c r="K16" s="34"/>
      <c r="L16" s="82"/>
      <c r="M16" s="83"/>
      <c r="N16" s="83"/>
      <c r="O16" s="136"/>
    </row>
    <row r="17" spans="1:15">
      <c r="A17" s="17"/>
      <c r="B17" s="40"/>
      <c r="C17" s="40"/>
      <c r="D17" s="12"/>
      <c r="E17" s="38"/>
      <c r="F17" s="147"/>
      <c r="G17" s="146"/>
      <c r="H17" s="18"/>
      <c r="I17" s="18"/>
      <c r="J17" s="12"/>
      <c r="K17" s="34"/>
      <c r="L17" s="82"/>
      <c r="M17" s="83"/>
      <c r="N17" s="83"/>
      <c r="O17" s="136"/>
    </row>
    <row r="18" spans="1:15">
      <c r="A18" s="17"/>
      <c r="B18" s="40"/>
      <c r="C18" s="40"/>
      <c r="D18" s="12"/>
      <c r="E18" s="38"/>
      <c r="F18" s="146"/>
      <c r="G18" s="18"/>
      <c r="H18" s="18"/>
      <c r="I18" s="18"/>
      <c r="J18" s="12"/>
      <c r="K18" s="34"/>
      <c r="L18" s="82"/>
      <c r="M18" s="83"/>
      <c r="N18" s="83"/>
      <c r="O18" s="136"/>
    </row>
    <row r="19" spans="1:15">
      <c r="A19" s="17"/>
      <c r="B19" s="40"/>
      <c r="C19" s="40"/>
      <c r="D19" s="12"/>
      <c r="E19" s="38"/>
      <c r="F19" s="146"/>
      <c r="G19" s="18"/>
      <c r="H19" s="18"/>
      <c r="I19" s="147"/>
      <c r="J19" s="12"/>
      <c r="K19" s="34"/>
      <c r="L19" s="82"/>
      <c r="M19" s="83"/>
      <c r="N19" s="83"/>
      <c r="O19" s="136"/>
    </row>
    <row r="20" spans="1:15">
      <c r="A20" s="17"/>
      <c r="B20" s="40"/>
      <c r="C20" s="40"/>
      <c r="D20" s="12"/>
      <c r="E20" s="38"/>
      <c r="F20" s="146"/>
      <c r="G20" s="18"/>
      <c r="H20" s="18"/>
      <c r="I20" s="18"/>
      <c r="J20" s="12"/>
      <c r="K20" s="34"/>
      <c r="L20" s="82"/>
      <c r="M20" s="83"/>
      <c r="N20" s="83"/>
      <c r="O20" s="136"/>
    </row>
    <row r="21" spans="1:15">
      <c r="A21" s="17"/>
      <c r="B21" s="40"/>
      <c r="C21" s="40"/>
      <c r="D21" s="12"/>
      <c r="E21" s="38"/>
      <c r="F21" s="146"/>
      <c r="G21" s="18"/>
      <c r="H21" s="18"/>
      <c r="I21" s="18"/>
      <c r="J21" s="12"/>
      <c r="K21" s="34"/>
      <c r="L21" s="82"/>
      <c r="M21" s="83"/>
      <c r="N21" s="83"/>
      <c r="O21" s="136"/>
    </row>
    <row r="22" spans="1:15" ht="43.25" customHeight="1">
      <c r="A22" s="17"/>
      <c r="B22" s="40"/>
      <c r="C22" s="40"/>
      <c r="D22" s="12"/>
      <c r="E22" s="38"/>
      <c r="F22" s="146"/>
      <c r="G22" s="18"/>
      <c r="H22" s="18"/>
      <c r="I22" s="18"/>
      <c r="J22" s="12"/>
      <c r="K22" s="34"/>
      <c r="L22" s="118"/>
      <c r="M22" s="119"/>
      <c r="N22" s="119"/>
      <c r="O22" s="137"/>
    </row>
    <row r="23" spans="1:15" ht="40" customHeight="1">
      <c r="A23" s="17"/>
      <c r="B23" s="39"/>
      <c r="C23" s="39"/>
      <c r="D23" s="12"/>
      <c r="E23" s="38"/>
      <c r="F23" s="18"/>
      <c r="G23" s="18"/>
      <c r="H23" s="18"/>
      <c r="I23" s="18"/>
      <c r="J23" s="12"/>
      <c r="K23" s="34"/>
      <c r="L23" s="82"/>
      <c r="M23" s="83"/>
      <c r="N23" s="83"/>
      <c r="O23" s="136"/>
    </row>
    <row r="24" spans="1:15" ht="38.25" customHeight="1" thickBot="1">
      <c r="A24" s="17"/>
      <c r="B24" s="39"/>
      <c r="C24" s="39"/>
      <c r="D24" s="12"/>
      <c r="E24" s="38"/>
      <c r="F24" s="18"/>
      <c r="G24" s="18"/>
      <c r="H24" s="18"/>
      <c r="I24" s="18"/>
      <c r="J24" s="12"/>
      <c r="K24" s="34"/>
      <c r="L24" s="85"/>
      <c r="M24" s="86"/>
      <c r="N24" s="86"/>
      <c r="O24" s="148"/>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4"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COUNTIF($E$9:$E$24,D31)</f>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COUNTIF($C$9:$C$24,B39)</f>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80CDECFC-ACE7-49C0-819B-CD78A6C9E786}">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0591-DA96-490A-A879-A0317BD37B06}">
  <sheetPr>
    <pageSetUpPr fitToPage="1"/>
  </sheetPr>
  <dimension ref="A1:O41"/>
  <sheetViews>
    <sheetView view="pageBreakPreview" topLeftCell="A9" zoomScaleNormal="80" zoomScaleSheetLayoutView="100" workbookViewId="0">
      <selection activeCell="O19" sqref="O19"/>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136"/>
    </row>
    <row r="10" spans="1:15" ht="41.25" customHeight="1">
      <c r="A10" s="17"/>
      <c r="B10" s="40"/>
      <c r="C10" s="40"/>
      <c r="D10" s="12"/>
      <c r="E10" s="38"/>
      <c r="F10" s="13"/>
      <c r="G10" s="13"/>
      <c r="H10" s="13"/>
      <c r="I10" s="150"/>
      <c r="J10" s="12"/>
      <c r="K10" s="34"/>
      <c r="L10" s="82"/>
      <c r="M10" s="83"/>
      <c r="N10" s="83"/>
      <c r="O10" s="136"/>
    </row>
    <row r="11" spans="1:15" ht="43.5" customHeight="1">
      <c r="A11" s="17"/>
      <c r="B11" s="40"/>
      <c r="C11" s="40"/>
      <c r="D11" s="12"/>
      <c r="E11" s="38"/>
      <c r="F11" s="13"/>
      <c r="G11" s="13"/>
      <c r="H11" s="13"/>
      <c r="I11" s="13"/>
      <c r="J11" s="12"/>
      <c r="K11" s="34"/>
      <c r="L11" s="82"/>
      <c r="M11" s="83"/>
      <c r="N11" s="83"/>
      <c r="O11" s="136"/>
    </row>
    <row r="12" spans="1:15" ht="43.5" customHeight="1">
      <c r="A12" s="17"/>
      <c r="B12" s="40"/>
      <c r="C12" s="40"/>
      <c r="D12" s="12"/>
      <c r="E12" s="38"/>
      <c r="F12" s="13"/>
      <c r="G12" s="13"/>
      <c r="H12" s="13"/>
      <c r="I12" s="13"/>
      <c r="J12" s="12"/>
      <c r="K12" s="34"/>
      <c r="L12" s="82"/>
      <c r="M12" s="83"/>
      <c r="N12" s="83"/>
      <c r="O12" s="136"/>
    </row>
    <row r="13" spans="1:15" ht="43.5" customHeight="1">
      <c r="A13" s="17"/>
      <c r="B13" s="40"/>
      <c r="C13" s="40"/>
      <c r="D13" s="12"/>
      <c r="E13" s="38"/>
      <c r="F13" s="13"/>
      <c r="G13" s="13"/>
      <c r="H13" s="13"/>
      <c r="I13" s="13"/>
      <c r="J13" s="41"/>
      <c r="K13" s="34"/>
      <c r="L13" s="82"/>
      <c r="M13" s="83"/>
      <c r="N13" s="83"/>
      <c r="O13" s="136"/>
    </row>
    <row r="14" spans="1:15" ht="43.5" customHeight="1">
      <c r="A14" s="17"/>
      <c r="B14" s="40"/>
      <c r="C14" s="40"/>
      <c r="D14" s="12"/>
      <c r="E14" s="38"/>
      <c r="F14" s="13"/>
      <c r="G14" s="13"/>
      <c r="H14" s="13"/>
      <c r="I14" s="13"/>
      <c r="J14" s="41"/>
      <c r="K14" s="34"/>
      <c r="L14" s="82"/>
      <c r="M14" s="83"/>
      <c r="N14" s="83"/>
      <c r="O14" s="136"/>
    </row>
    <row r="15" spans="1:15" ht="43.5" customHeight="1">
      <c r="A15" s="17"/>
      <c r="B15" s="40"/>
      <c r="C15" s="40"/>
      <c r="D15" s="12"/>
      <c r="E15" s="38"/>
      <c r="F15" s="28"/>
      <c r="G15" s="13"/>
      <c r="H15" s="13"/>
      <c r="I15" s="13"/>
      <c r="J15" s="12"/>
      <c r="K15" s="34"/>
      <c r="L15" s="82"/>
      <c r="M15" s="83"/>
      <c r="N15" s="83"/>
      <c r="O15" s="136"/>
    </row>
    <row r="16" spans="1:15" ht="43.5" customHeight="1">
      <c r="A16" s="17"/>
      <c r="B16" s="40"/>
      <c r="C16" s="39"/>
      <c r="D16" s="12"/>
      <c r="E16" s="38"/>
      <c r="F16" s="28"/>
      <c r="G16" s="13"/>
      <c r="H16" s="13"/>
      <c r="I16" s="13"/>
      <c r="J16" s="12"/>
      <c r="K16" s="34"/>
      <c r="L16" s="82"/>
      <c r="M16" s="83"/>
      <c r="N16" s="83"/>
      <c r="O16" s="136"/>
    </row>
    <row r="17" spans="1:15" ht="43.5" customHeight="1">
      <c r="A17" s="17"/>
      <c r="B17" s="40"/>
      <c r="C17" s="39"/>
      <c r="D17" s="12"/>
      <c r="E17" s="38"/>
      <c r="F17" s="13"/>
      <c r="G17" s="13"/>
      <c r="H17" s="13"/>
      <c r="I17" s="13"/>
      <c r="J17" s="12"/>
      <c r="K17" s="34"/>
      <c r="L17" s="82"/>
      <c r="M17" s="83"/>
      <c r="N17" s="83"/>
      <c r="O17" s="136"/>
    </row>
    <row r="18" spans="1:15" ht="43.5" customHeight="1">
      <c r="A18" s="17"/>
      <c r="B18" s="40"/>
      <c r="C18" s="39"/>
      <c r="D18" s="12"/>
      <c r="E18" s="38"/>
      <c r="F18" s="13"/>
      <c r="G18" s="13"/>
      <c r="H18" s="13"/>
      <c r="I18" s="13"/>
      <c r="J18" s="12"/>
      <c r="K18" s="34"/>
      <c r="L18" s="82"/>
      <c r="M18" s="83"/>
      <c r="N18" s="83"/>
      <c r="O18" s="136"/>
    </row>
    <row r="19" spans="1:15" ht="43.5" customHeight="1">
      <c r="A19" s="17"/>
      <c r="B19" s="40"/>
      <c r="C19" s="39"/>
      <c r="D19" s="12"/>
      <c r="E19" s="38"/>
      <c r="F19" s="28"/>
      <c r="G19" s="13"/>
      <c r="H19" s="13"/>
      <c r="I19" s="13"/>
      <c r="J19" s="12"/>
      <c r="K19" s="34"/>
      <c r="L19" s="82"/>
      <c r="M19" s="83"/>
      <c r="N19" s="83"/>
      <c r="O19" s="136"/>
    </row>
    <row r="20" spans="1:15" ht="44.25" customHeight="1">
      <c r="A20" s="17"/>
      <c r="B20" s="39"/>
      <c r="C20" s="39"/>
      <c r="D20" s="12"/>
      <c r="E20" s="38"/>
      <c r="F20" s="28"/>
      <c r="G20" s="13"/>
      <c r="H20" s="13"/>
      <c r="I20" s="13"/>
      <c r="J20" s="12"/>
      <c r="K20" s="34"/>
      <c r="L20" s="82"/>
      <c r="M20" s="83"/>
      <c r="N20" s="83"/>
      <c r="O20" s="84"/>
    </row>
    <row r="21" spans="1:15" ht="42" customHeight="1">
      <c r="A21" s="17"/>
      <c r="B21" s="39"/>
      <c r="C21" s="39"/>
      <c r="D21" s="12"/>
      <c r="E21" s="38"/>
      <c r="F21" s="13"/>
      <c r="G21" s="13"/>
      <c r="H21" s="13"/>
      <c r="I21" s="13"/>
      <c r="J21" s="12"/>
      <c r="K21" s="34"/>
      <c r="L21" s="82"/>
      <c r="M21" s="83"/>
      <c r="N21" s="83"/>
      <c r="O21" s="84"/>
    </row>
    <row r="22" spans="1:15" ht="43.25" customHeight="1">
      <c r="A22" s="17"/>
      <c r="B22" s="39"/>
      <c r="C22" s="39"/>
      <c r="D22" s="12"/>
      <c r="E22" s="38"/>
      <c r="F22" s="13"/>
      <c r="G22" s="13"/>
      <c r="H22" s="13"/>
      <c r="I22" s="13"/>
      <c r="J22" s="12"/>
      <c r="K22" s="34"/>
      <c r="L22" s="118"/>
      <c r="M22" s="119"/>
      <c r="N22" s="119"/>
      <c r="O22" s="120"/>
    </row>
    <row r="23" spans="1:15" ht="40" customHeight="1">
      <c r="A23" s="17"/>
      <c r="B23" s="39"/>
      <c r="C23" s="39"/>
      <c r="D23" s="12"/>
      <c r="E23" s="38"/>
      <c r="F23" s="13"/>
      <c r="G23" s="13"/>
      <c r="H23" s="13"/>
      <c r="I23" s="13"/>
      <c r="J23" s="12"/>
      <c r="K23" s="34"/>
      <c r="L23" s="82"/>
      <c r="M23" s="83"/>
      <c r="N23" s="83"/>
      <c r="O23" s="84"/>
    </row>
    <row r="24" spans="1:15" ht="38.25" customHeight="1" thickBot="1">
      <c r="A24" s="17"/>
      <c r="B24" s="39"/>
      <c r="C24" s="39"/>
      <c r="D24" s="12"/>
      <c r="E24" s="38"/>
      <c r="F24" s="13"/>
      <c r="G24" s="13"/>
      <c r="H24" s="13"/>
      <c r="I24" s="13"/>
      <c r="J24" s="12"/>
      <c r="K24" s="34"/>
      <c r="L24" s="85"/>
      <c r="M24" s="86"/>
      <c r="N24" s="86"/>
      <c r="O24" s="87"/>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4"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 t="shared" si="1"/>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596205A1-9DDC-43A0-AE31-D8692A4C2283}">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2DFCA-83A1-489D-9D59-1DA620ACD29E}">
  <sheetPr>
    <pageSetUpPr fitToPage="1"/>
  </sheetPr>
  <dimension ref="A1:O41"/>
  <sheetViews>
    <sheetView view="pageBreakPreview" zoomScaleNormal="80" zoomScaleSheetLayoutView="100" workbookViewId="0">
      <selection activeCell="I13" sqref="I13"/>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84"/>
    </row>
    <row r="10" spans="1:15" ht="41.25" customHeight="1">
      <c r="A10" s="17"/>
      <c r="B10" s="40"/>
      <c r="C10" s="40"/>
      <c r="D10" s="12"/>
      <c r="E10" s="38"/>
      <c r="F10" s="13"/>
      <c r="G10" s="13"/>
      <c r="H10" s="13"/>
      <c r="I10" s="13"/>
      <c r="J10" s="12"/>
      <c r="K10" s="34"/>
      <c r="L10" s="82"/>
      <c r="M10" s="83"/>
      <c r="N10" s="83"/>
      <c r="O10" s="84"/>
    </row>
    <row r="11" spans="1:15" ht="43.5" customHeight="1">
      <c r="A11" s="17"/>
      <c r="B11" s="40"/>
      <c r="C11" s="40"/>
      <c r="D11" s="12"/>
      <c r="E11" s="38"/>
      <c r="F11" s="13"/>
      <c r="G11" s="13"/>
      <c r="H11" s="13"/>
      <c r="I11" s="13"/>
      <c r="J11" s="12"/>
      <c r="K11" s="34"/>
      <c r="L11" s="82"/>
      <c r="M11" s="83"/>
      <c r="N11" s="83"/>
      <c r="O11" s="84"/>
    </row>
    <row r="12" spans="1:15" ht="43.5" customHeight="1">
      <c r="A12" s="17"/>
      <c r="B12" s="40"/>
      <c r="C12" s="40"/>
      <c r="D12" s="12"/>
      <c r="E12" s="38"/>
      <c r="F12" s="13"/>
      <c r="G12" s="13"/>
      <c r="H12" s="13"/>
      <c r="I12" s="13"/>
      <c r="J12" s="12"/>
      <c r="K12" s="34"/>
      <c r="L12" s="82"/>
      <c r="M12" s="83"/>
      <c r="N12" s="83"/>
      <c r="O12" s="84"/>
    </row>
    <row r="13" spans="1:15" ht="43.5" customHeight="1">
      <c r="A13" s="17"/>
      <c r="B13" s="40"/>
      <c r="C13" s="40"/>
      <c r="D13" s="12"/>
      <c r="E13" s="38"/>
      <c r="F13" s="13"/>
      <c r="G13" s="13"/>
      <c r="H13" s="13"/>
      <c r="I13" s="13"/>
      <c r="J13" s="41"/>
      <c r="K13" s="34"/>
      <c r="L13" s="82"/>
      <c r="M13" s="83"/>
      <c r="N13" s="83"/>
      <c r="O13" s="84"/>
    </row>
    <row r="14" spans="1:15" ht="43.5" customHeight="1">
      <c r="A14" s="17"/>
      <c r="B14" s="40"/>
      <c r="C14" s="40"/>
      <c r="D14" s="12"/>
      <c r="E14" s="38"/>
      <c r="F14" s="13"/>
      <c r="G14" s="13"/>
      <c r="H14" s="13"/>
      <c r="I14" s="13"/>
      <c r="J14" s="41"/>
      <c r="K14" s="34"/>
      <c r="L14" s="82"/>
      <c r="M14" s="83"/>
      <c r="N14" s="83"/>
      <c r="O14" s="84"/>
    </row>
    <row r="15" spans="1:15" ht="43.5" customHeight="1">
      <c r="A15" s="17"/>
      <c r="B15" s="40"/>
      <c r="C15" s="40"/>
      <c r="D15" s="12"/>
      <c r="E15" s="38"/>
      <c r="F15" s="28"/>
      <c r="G15" s="13"/>
      <c r="H15" s="13"/>
      <c r="I15" s="13"/>
      <c r="J15" s="12"/>
      <c r="K15" s="34"/>
      <c r="L15" s="82"/>
      <c r="M15" s="83"/>
      <c r="N15" s="83"/>
      <c r="O15" s="84"/>
    </row>
    <row r="16" spans="1:15" ht="43.5" customHeight="1">
      <c r="A16" s="17"/>
      <c r="B16" s="39"/>
      <c r="C16" s="39"/>
      <c r="D16" s="12"/>
      <c r="E16" s="38"/>
      <c r="F16" s="28"/>
      <c r="G16" s="13"/>
      <c r="H16" s="13"/>
      <c r="I16" s="13"/>
      <c r="J16" s="12"/>
      <c r="K16" s="34"/>
      <c r="L16" s="82"/>
      <c r="M16" s="83"/>
      <c r="N16" s="83"/>
      <c r="O16" s="84"/>
    </row>
    <row r="17" spans="1:15" ht="43.5" customHeight="1">
      <c r="A17" s="17"/>
      <c r="B17" s="39"/>
      <c r="C17" s="39"/>
      <c r="D17" s="12"/>
      <c r="E17" s="38"/>
      <c r="F17" s="13"/>
      <c r="G17" s="13"/>
      <c r="H17" s="13"/>
      <c r="I17" s="13"/>
      <c r="J17" s="12"/>
      <c r="K17" s="34"/>
      <c r="L17" s="82"/>
      <c r="M17" s="83"/>
      <c r="N17" s="83"/>
      <c r="O17" s="84"/>
    </row>
    <row r="18" spans="1:15" ht="43.5" customHeight="1">
      <c r="A18" s="17"/>
      <c r="B18" s="39"/>
      <c r="C18" s="39"/>
      <c r="D18" s="12"/>
      <c r="E18" s="38"/>
      <c r="F18" s="13"/>
      <c r="G18" s="13"/>
      <c r="H18" s="13"/>
      <c r="I18" s="13"/>
      <c r="J18" s="12"/>
      <c r="K18" s="34"/>
      <c r="L18" s="82"/>
      <c r="M18" s="83"/>
      <c r="N18" s="83"/>
      <c r="O18" s="84"/>
    </row>
    <row r="19" spans="1:15" ht="43.5" customHeight="1">
      <c r="A19" s="17"/>
      <c r="B19" s="39"/>
      <c r="C19" s="39"/>
      <c r="D19" s="12"/>
      <c r="E19" s="38"/>
      <c r="F19" s="28"/>
      <c r="G19" s="13"/>
      <c r="H19" s="13"/>
      <c r="I19" s="13"/>
      <c r="J19" s="12"/>
      <c r="K19" s="34"/>
      <c r="L19" s="82"/>
      <c r="M19" s="83"/>
      <c r="N19" s="83"/>
      <c r="O19" s="84"/>
    </row>
    <row r="20" spans="1:15" ht="44.25" customHeight="1">
      <c r="A20" s="17"/>
      <c r="B20" s="39"/>
      <c r="C20" s="39"/>
      <c r="D20" s="12"/>
      <c r="E20" s="38"/>
      <c r="F20" s="28"/>
      <c r="G20" s="13"/>
      <c r="H20" s="13"/>
      <c r="I20" s="13"/>
      <c r="J20" s="12"/>
      <c r="K20" s="34"/>
      <c r="L20" s="82"/>
      <c r="M20" s="83"/>
      <c r="N20" s="83"/>
      <c r="O20" s="84"/>
    </row>
    <row r="21" spans="1:15" ht="42" customHeight="1">
      <c r="A21" s="17"/>
      <c r="B21" s="39"/>
      <c r="C21" s="39"/>
      <c r="D21" s="12"/>
      <c r="E21" s="38"/>
      <c r="F21" s="13"/>
      <c r="G21" s="13"/>
      <c r="H21" s="13"/>
      <c r="I21" s="13"/>
      <c r="J21" s="12"/>
      <c r="K21" s="34"/>
      <c r="L21" s="82"/>
      <c r="M21" s="83"/>
      <c r="N21" s="83"/>
      <c r="O21" s="84"/>
    </row>
    <row r="22" spans="1:15" ht="43.25" customHeight="1">
      <c r="A22" s="17"/>
      <c r="B22" s="39"/>
      <c r="C22" s="39"/>
      <c r="D22" s="12"/>
      <c r="E22" s="38"/>
      <c r="F22" s="13"/>
      <c r="G22" s="13"/>
      <c r="H22" s="13"/>
      <c r="I22" s="13"/>
      <c r="J22" s="12"/>
      <c r="K22" s="34"/>
      <c r="L22" s="118"/>
      <c r="M22" s="119"/>
      <c r="N22" s="119"/>
      <c r="O22" s="120"/>
    </row>
    <row r="23" spans="1:15" ht="40" customHeight="1">
      <c r="A23" s="17"/>
      <c r="B23" s="39"/>
      <c r="C23" s="39"/>
      <c r="D23" s="12"/>
      <c r="E23" s="38"/>
      <c r="F23" s="13"/>
      <c r="G23" s="13"/>
      <c r="H23" s="13"/>
      <c r="I23" s="13"/>
      <c r="J23" s="12"/>
      <c r="K23" s="34"/>
      <c r="L23" s="82"/>
      <c r="M23" s="83"/>
      <c r="N23" s="83"/>
      <c r="O23" s="84"/>
    </row>
    <row r="24" spans="1:15" ht="38.25" customHeight="1" thickBot="1">
      <c r="A24" s="17"/>
      <c r="B24" s="39"/>
      <c r="C24" s="39"/>
      <c r="D24" s="12"/>
      <c r="E24" s="38"/>
      <c r="F24" s="13"/>
      <c r="G24" s="13"/>
      <c r="H24" s="13"/>
      <c r="I24" s="13"/>
      <c r="J24" s="12"/>
      <c r="K24" s="34"/>
      <c r="L24" s="85"/>
      <c r="M24" s="86"/>
      <c r="N24" s="86"/>
      <c r="O24" s="87"/>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4"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 t="shared" si="1"/>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B78E7DDA-26FC-489E-B795-33FA24D1668C}">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211A-7775-42C7-9536-8E0442B56FD9}">
  <sheetPr>
    <pageSetUpPr fitToPage="1"/>
  </sheetPr>
  <dimension ref="A1:O41"/>
  <sheetViews>
    <sheetView view="pageBreakPreview" zoomScaleNormal="80" zoomScaleSheetLayoutView="100" workbookViewId="0">
      <selection activeCell="I3" sqref="I3:I4"/>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84"/>
    </row>
    <row r="10" spans="1:15" ht="41.25" customHeight="1">
      <c r="A10" s="17"/>
      <c r="B10" s="40"/>
      <c r="C10" s="40"/>
      <c r="D10" s="12"/>
      <c r="E10" s="38"/>
      <c r="F10" s="13"/>
      <c r="G10" s="13"/>
      <c r="H10" s="13"/>
      <c r="I10" s="13"/>
      <c r="J10" s="12"/>
      <c r="K10" s="34"/>
      <c r="L10" s="82"/>
      <c r="M10" s="83"/>
      <c r="N10" s="83"/>
      <c r="O10" s="84"/>
    </row>
    <row r="11" spans="1:15" ht="43.5" customHeight="1">
      <c r="A11" s="17"/>
      <c r="B11" s="40"/>
      <c r="C11" s="40"/>
      <c r="D11" s="12"/>
      <c r="E11" s="38"/>
      <c r="F11" s="13"/>
      <c r="G11" s="13"/>
      <c r="H11" s="13"/>
      <c r="I11" s="13"/>
      <c r="J11" s="12"/>
      <c r="K11" s="34"/>
      <c r="L11" s="82"/>
      <c r="M11" s="83"/>
      <c r="N11" s="83"/>
      <c r="O11" s="84"/>
    </row>
    <row r="12" spans="1:15" ht="43.5" customHeight="1">
      <c r="A12" s="17"/>
      <c r="B12" s="40"/>
      <c r="C12" s="40"/>
      <c r="D12" s="12"/>
      <c r="E12" s="38"/>
      <c r="F12" s="13"/>
      <c r="G12" s="13"/>
      <c r="H12" s="13"/>
      <c r="I12" s="13"/>
      <c r="J12" s="12"/>
      <c r="K12" s="34"/>
      <c r="L12" s="82"/>
      <c r="M12" s="83"/>
      <c r="N12" s="83"/>
      <c r="O12" s="84"/>
    </row>
    <row r="13" spans="1:15" ht="43.5" customHeight="1">
      <c r="A13" s="17"/>
      <c r="B13" s="40"/>
      <c r="C13" s="40"/>
      <c r="D13" s="12"/>
      <c r="E13" s="38"/>
      <c r="F13" s="13"/>
      <c r="G13" s="13"/>
      <c r="H13" s="13"/>
      <c r="I13" s="13"/>
      <c r="J13" s="41"/>
      <c r="K13" s="34"/>
      <c r="L13" s="82"/>
      <c r="M13" s="83"/>
      <c r="N13" s="83"/>
      <c r="O13" s="84"/>
    </row>
    <row r="14" spans="1:15" ht="43.5" customHeight="1">
      <c r="A14" s="17"/>
      <c r="B14" s="40"/>
      <c r="C14" s="40"/>
      <c r="D14" s="12"/>
      <c r="E14" s="38"/>
      <c r="F14" s="13"/>
      <c r="G14" s="13"/>
      <c r="H14" s="13"/>
      <c r="I14" s="13"/>
      <c r="J14" s="41"/>
      <c r="K14" s="34"/>
      <c r="L14" s="82"/>
      <c r="M14" s="83"/>
      <c r="N14" s="83"/>
      <c r="O14" s="84"/>
    </row>
    <row r="15" spans="1:15" ht="43.5" customHeight="1">
      <c r="A15" s="17"/>
      <c r="B15" s="40"/>
      <c r="C15" s="40"/>
      <c r="D15" s="12"/>
      <c r="E15" s="38"/>
      <c r="F15" s="28"/>
      <c r="G15" s="13"/>
      <c r="H15" s="13"/>
      <c r="I15" s="13"/>
      <c r="J15" s="12"/>
      <c r="K15" s="34"/>
      <c r="L15" s="82"/>
      <c r="M15" s="83"/>
      <c r="N15" s="83"/>
      <c r="O15" s="84"/>
    </row>
    <row r="16" spans="1:15" ht="43.5" customHeight="1">
      <c r="A16" s="17"/>
      <c r="B16" s="39"/>
      <c r="C16" s="39"/>
      <c r="D16" s="12"/>
      <c r="E16" s="38"/>
      <c r="F16" s="28"/>
      <c r="G16" s="13"/>
      <c r="H16" s="13"/>
      <c r="I16" s="13"/>
      <c r="J16" s="12"/>
      <c r="K16" s="34"/>
      <c r="L16" s="82"/>
      <c r="M16" s="83"/>
      <c r="N16" s="83"/>
      <c r="O16" s="84"/>
    </row>
    <row r="17" spans="1:15" ht="43.5" customHeight="1">
      <c r="A17" s="17"/>
      <c r="B17" s="39"/>
      <c r="C17" s="39"/>
      <c r="D17" s="12"/>
      <c r="E17" s="38"/>
      <c r="F17" s="13"/>
      <c r="G17" s="13"/>
      <c r="H17" s="13"/>
      <c r="I17" s="13"/>
      <c r="J17" s="12"/>
      <c r="K17" s="34"/>
      <c r="L17" s="82"/>
      <c r="M17" s="83"/>
      <c r="N17" s="83"/>
      <c r="O17" s="84"/>
    </row>
    <row r="18" spans="1:15" ht="43.5" customHeight="1">
      <c r="A18" s="17"/>
      <c r="B18" s="39"/>
      <c r="C18" s="39"/>
      <c r="D18" s="12"/>
      <c r="E18" s="38"/>
      <c r="F18" s="13"/>
      <c r="G18" s="13"/>
      <c r="H18" s="13"/>
      <c r="I18" s="13"/>
      <c r="J18" s="12"/>
      <c r="K18" s="34"/>
      <c r="L18" s="82"/>
      <c r="M18" s="83"/>
      <c r="N18" s="83"/>
      <c r="O18" s="84"/>
    </row>
    <row r="19" spans="1:15" ht="43.5" customHeight="1">
      <c r="A19" s="17"/>
      <c r="B19" s="39"/>
      <c r="C19" s="39"/>
      <c r="D19" s="12"/>
      <c r="E19" s="38"/>
      <c r="F19" s="28"/>
      <c r="G19" s="13"/>
      <c r="H19" s="13"/>
      <c r="I19" s="13"/>
      <c r="J19" s="12"/>
      <c r="K19" s="34"/>
      <c r="L19" s="82"/>
      <c r="M19" s="83"/>
      <c r="N19" s="83"/>
      <c r="O19" s="84"/>
    </row>
    <row r="20" spans="1:15" ht="44.25" customHeight="1">
      <c r="A20" s="17"/>
      <c r="B20" s="39"/>
      <c r="C20" s="39"/>
      <c r="D20" s="12"/>
      <c r="E20" s="38"/>
      <c r="F20" s="28"/>
      <c r="G20" s="13"/>
      <c r="H20" s="13"/>
      <c r="I20" s="13"/>
      <c r="J20" s="12"/>
      <c r="K20" s="34"/>
      <c r="L20" s="82"/>
      <c r="M20" s="83"/>
      <c r="N20" s="83"/>
      <c r="O20" s="84"/>
    </row>
    <row r="21" spans="1:15" ht="42" customHeight="1">
      <c r="A21" s="17"/>
      <c r="B21" s="39"/>
      <c r="C21" s="39"/>
      <c r="D21" s="12"/>
      <c r="E21" s="38"/>
      <c r="F21" s="13"/>
      <c r="G21" s="13"/>
      <c r="H21" s="13"/>
      <c r="I21" s="13"/>
      <c r="J21" s="12"/>
      <c r="K21" s="34"/>
      <c r="L21" s="82"/>
      <c r="M21" s="83"/>
      <c r="N21" s="83"/>
      <c r="O21" s="84"/>
    </row>
    <row r="22" spans="1:15" ht="43.25" customHeight="1">
      <c r="A22" s="17"/>
      <c r="B22" s="39"/>
      <c r="C22" s="39"/>
      <c r="D22" s="12"/>
      <c r="E22" s="38"/>
      <c r="F22" s="13"/>
      <c r="G22" s="13"/>
      <c r="H22" s="13"/>
      <c r="I22" s="13"/>
      <c r="J22" s="12"/>
      <c r="K22" s="34"/>
      <c r="L22" s="118"/>
      <c r="M22" s="119"/>
      <c r="N22" s="119"/>
      <c r="O22" s="120"/>
    </row>
    <row r="23" spans="1:15" ht="40" customHeight="1">
      <c r="A23" s="17"/>
      <c r="B23" s="39"/>
      <c r="C23" s="39"/>
      <c r="D23" s="12"/>
      <c r="E23" s="38"/>
      <c r="F23" s="13"/>
      <c r="G23" s="13"/>
      <c r="H23" s="13"/>
      <c r="I23" s="13"/>
      <c r="J23" s="12"/>
      <c r="K23" s="34"/>
      <c r="L23" s="82"/>
      <c r="M23" s="83"/>
      <c r="N23" s="83"/>
      <c r="O23" s="84"/>
    </row>
    <row r="24" spans="1:15" ht="38.25" customHeight="1" thickBot="1">
      <c r="A24" s="17"/>
      <c r="B24" s="39"/>
      <c r="C24" s="39"/>
      <c r="D24" s="12"/>
      <c r="E24" s="38"/>
      <c r="F24" s="13"/>
      <c r="G24" s="13"/>
      <c r="H24" s="13"/>
      <c r="I24" s="13"/>
      <c r="J24" s="12"/>
      <c r="K24" s="34"/>
      <c r="L24" s="85"/>
      <c r="M24" s="86"/>
      <c r="N24" s="86"/>
      <c r="O24" s="87"/>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4"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 t="shared" si="1"/>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B5480189-C35A-430B-AD3F-17B6902FF028}">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3040-2E34-4D36-BE60-E3CA0CDC20D0}">
  <sheetPr>
    <pageSetUpPr fitToPage="1"/>
  </sheetPr>
  <dimension ref="A1:O41"/>
  <sheetViews>
    <sheetView view="pageBreakPreview" zoomScaleNormal="80" zoomScaleSheetLayoutView="100" workbookViewId="0">
      <selection activeCell="I3" sqref="I3:I4"/>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84"/>
    </row>
    <row r="10" spans="1:15" ht="41.25" customHeight="1">
      <c r="A10" s="17"/>
      <c r="B10" s="40"/>
      <c r="C10" s="40"/>
      <c r="D10" s="12"/>
      <c r="E10" s="38"/>
      <c r="F10" s="13"/>
      <c r="G10" s="13"/>
      <c r="H10" s="13"/>
      <c r="I10" s="13"/>
      <c r="J10" s="12"/>
      <c r="K10" s="34"/>
      <c r="L10" s="82"/>
      <c r="M10" s="83"/>
      <c r="N10" s="83"/>
      <c r="O10" s="84"/>
    </row>
    <row r="11" spans="1:15" ht="43.5" customHeight="1">
      <c r="A11" s="17"/>
      <c r="B11" s="40"/>
      <c r="C11" s="40"/>
      <c r="D11" s="12"/>
      <c r="E11" s="38"/>
      <c r="F11" s="13"/>
      <c r="G11" s="13"/>
      <c r="H11" s="13"/>
      <c r="I11" s="13"/>
      <c r="J11" s="12"/>
      <c r="K11" s="34"/>
      <c r="L11" s="82"/>
      <c r="M11" s="83"/>
      <c r="N11" s="83"/>
      <c r="O11" s="84"/>
    </row>
    <row r="12" spans="1:15" ht="43.5" customHeight="1">
      <c r="A12" s="17"/>
      <c r="B12" s="40"/>
      <c r="C12" s="40"/>
      <c r="D12" s="12"/>
      <c r="E12" s="38"/>
      <c r="F12" s="13"/>
      <c r="G12" s="13"/>
      <c r="H12" s="13"/>
      <c r="I12" s="13"/>
      <c r="J12" s="12"/>
      <c r="K12" s="34"/>
      <c r="L12" s="82"/>
      <c r="M12" s="83"/>
      <c r="N12" s="83"/>
      <c r="O12" s="84"/>
    </row>
    <row r="13" spans="1:15" ht="43.5" customHeight="1">
      <c r="A13" s="17"/>
      <c r="B13" s="40"/>
      <c r="C13" s="40"/>
      <c r="D13" s="12"/>
      <c r="E13" s="38"/>
      <c r="F13" s="13"/>
      <c r="G13" s="13"/>
      <c r="H13" s="13"/>
      <c r="I13" s="13"/>
      <c r="J13" s="41"/>
      <c r="K13" s="34"/>
      <c r="L13" s="82"/>
      <c r="M13" s="83"/>
      <c r="N13" s="83"/>
      <c r="O13" s="84"/>
    </row>
    <row r="14" spans="1:15" ht="43.5" customHeight="1">
      <c r="A14" s="17"/>
      <c r="B14" s="40"/>
      <c r="C14" s="40"/>
      <c r="D14" s="12"/>
      <c r="E14" s="38"/>
      <c r="F14" s="13"/>
      <c r="G14" s="13"/>
      <c r="H14" s="13"/>
      <c r="I14" s="13"/>
      <c r="J14" s="41"/>
      <c r="K14" s="34"/>
      <c r="L14" s="82"/>
      <c r="M14" s="83"/>
      <c r="N14" s="83"/>
      <c r="O14" s="84"/>
    </row>
    <row r="15" spans="1:15" ht="43.5" customHeight="1">
      <c r="A15" s="17"/>
      <c r="B15" s="40"/>
      <c r="C15" s="40"/>
      <c r="D15" s="12"/>
      <c r="E15" s="38"/>
      <c r="F15" s="28"/>
      <c r="G15" s="13"/>
      <c r="H15" s="13"/>
      <c r="I15" s="13"/>
      <c r="J15" s="12"/>
      <c r="K15" s="34"/>
      <c r="L15" s="82"/>
      <c r="M15" s="83"/>
      <c r="N15" s="83"/>
      <c r="O15" s="84"/>
    </row>
    <row r="16" spans="1:15" ht="43.5" customHeight="1">
      <c r="A16" s="17"/>
      <c r="B16" s="39"/>
      <c r="C16" s="39"/>
      <c r="D16" s="12"/>
      <c r="E16" s="38"/>
      <c r="F16" s="28"/>
      <c r="G16" s="13"/>
      <c r="H16" s="13"/>
      <c r="I16" s="13"/>
      <c r="J16" s="12"/>
      <c r="K16" s="34"/>
      <c r="L16" s="82"/>
      <c r="M16" s="83"/>
      <c r="N16" s="83"/>
      <c r="O16" s="84"/>
    </row>
    <row r="17" spans="1:15" ht="43.5" customHeight="1">
      <c r="A17" s="17"/>
      <c r="B17" s="39"/>
      <c r="C17" s="39"/>
      <c r="D17" s="12"/>
      <c r="E17" s="38"/>
      <c r="F17" s="13"/>
      <c r="G17" s="13"/>
      <c r="H17" s="13"/>
      <c r="I17" s="13"/>
      <c r="J17" s="12"/>
      <c r="K17" s="34"/>
      <c r="L17" s="82"/>
      <c r="M17" s="83"/>
      <c r="N17" s="83"/>
      <c r="O17" s="84"/>
    </row>
    <row r="18" spans="1:15" ht="43.5" customHeight="1">
      <c r="A18" s="17"/>
      <c r="B18" s="39"/>
      <c r="C18" s="39"/>
      <c r="D18" s="12"/>
      <c r="E18" s="38"/>
      <c r="F18" s="13"/>
      <c r="G18" s="13"/>
      <c r="H18" s="13"/>
      <c r="I18" s="13"/>
      <c r="J18" s="12"/>
      <c r="K18" s="34"/>
      <c r="L18" s="82"/>
      <c r="M18" s="83"/>
      <c r="N18" s="83"/>
      <c r="O18" s="84"/>
    </row>
    <row r="19" spans="1:15" ht="43.5" customHeight="1">
      <c r="A19" s="17"/>
      <c r="B19" s="39"/>
      <c r="C19" s="39"/>
      <c r="D19" s="12"/>
      <c r="E19" s="38"/>
      <c r="F19" s="28"/>
      <c r="G19" s="13"/>
      <c r="H19" s="13"/>
      <c r="I19" s="13"/>
      <c r="J19" s="12"/>
      <c r="K19" s="34"/>
      <c r="L19" s="82"/>
      <c r="M19" s="83"/>
      <c r="N19" s="83"/>
      <c r="O19" s="84"/>
    </row>
    <row r="20" spans="1:15" ht="44.25" customHeight="1">
      <c r="A20" s="17"/>
      <c r="B20" s="39"/>
      <c r="C20" s="39"/>
      <c r="D20" s="12"/>
      <c r="E20" s="38"/>
      <c r="F20" s="28"/>
      <c r="G20" s="13"/>
      <c r="H20" s="13"/>
      <c r="I20" s="13"/>
      <c r="J20" s="12"/>
      <c r="K20" s="34"/>
      <c r="L20" s="82"/>
      <c r="M20" s="83"/>
      <c r="N20" s="83"/>
      <c r="O20" s="84"/>
    </row>
    <row r="21" spans="1:15" ht="42" customHeight="1">
      <c r="A21" s="17"/>
      <c r="B21" s="39"/>
      <c r="C21" s="39"/>
      <c r="D21" s="12"/>
      <c r="E21" s="38"/>
      <c r="F21" s="13"/>
      <c r="G21" s="13"/>
      <c r="H21" s="13"/>
      <c r="I21" s="13"/>
      <c r="J21" s="12"/>
      <c r="K21" s="34"/>
      <c r="L21" s="82"/>
      <c r="M21" s="83"/>
      <c r="N21" s="83"/>
      <c r="O21" s="84"/>
    </row>
    <row r="22" spans="1:15" ht="43.25" customHeight="1">
      <c r="A22" s="17"/>
      <c r="B22" s="39"/>
      <c r="C22" s="39"/>
      <c r="D22" s="12"/>
      <c r="E22" s="38"/>
      <c r="F22" s="13"/>
      <c r="G22" s="13"/>
      <c r="H22" s="13"/>
      <c r="I22" s="13"/>
      <c r="J22" s="12"/>
      <c r="K22" s="34"/>
      <c r="L22" s="118"/>
      <c r="M22" s="119"/>
      <c r="N22" s="119"/>
      <c r="O22" s="120"/>
    </row>
    <row r="23" spans="1:15" ht="40" customHeight="1">
      <c r="A23" s="17"/>
      <c r="B23" s="39"/>
      <c r="C23" s="39"/>
      <c r="D23" s="12"/>
      <c r="E23" s="38"/>
      <c r="F23" s="13"/>
      <c r="G23" s="13"/>
      <c r="H23" s="13"/>
      <c r="I23" s="13"/>
      <c r="J23" s="12"/>
      <c r="K23" s="34"/>
      <c r="L23" s="82"/>
      <c r="M23" s="83"/>
      <c r="N23" s="83"/>
      <c r="O23" s="84"/>
    </row>
    <row r="24" spans="1:15" ht="38.25" customHeight="1" thickBot="1">
      <c r="A24" s="17"/>
      <c r="B24" s="39"/>
      <c r="C24" s="39"/>
      <c r="D24" s="12"/>
      <c r="E24" s="38"/>
      <c r="F24" s="13"/>
      <c r="G24" s="13"/>
      <c r="H24" s="13"/>
      <c r="I24" s="13"/>
      <c r="J24" s="12"/>
      <c r="K24" s="34"/>
      <c r="L24" s="85"/>
      <c r="M24" s="86"/>
      <c r="N24" s="86"/>
      <c r="O24" s="87"/>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4"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 t="shared" si="1"/>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count="1">
    <dataValidation type="list" allowBlank="1" showInputMessage="1" showErrorMessage="1" sqref="E9:E24" xr:uid="{F7C6DED0-4301-41DF-AF3D-9725C6BCFAF9}">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DEB41-C969-4007-A6B6-22C2C39F675F}">
  <sheetPr>
    <pageSetUpPr fitToPage="1"/>
  </sheetPr>
  <dimension ref="A1:O41"/>
  <sheetViews>
    <sheetView view="pageBreakPreview" zoomScaleNormal="80" zoomScaleSheetLayoutView="100" workbookViewId="0">
      <selection activeCell="H11" sqref="H11"/>
    </sheetView>
  </sheetViews>
  <sheetFormatPr baseColWidth="10" defaultColWidth="9" defaultRowHeight="14"/>
  <cols>
    <col min="1" max="1" width="7.1640625" style="16" customWidth="1"/>
    <col min="2" max="2" width="8" style="16" customWidth="1"/>
    <col min="3" max="3" width="8.83203125" style="16" customWidth="1"/>
    <col min="4" max="4" width="13.83203125" style="19" customWidth="1"/>
    <col min="5" max="5" width="11.33203125" style="16" customWidth="1"/>
    <col min="6" max="6" width="17.1640625" style="16" customWidth="1"/>
    <col min="7" max="7" width="11.83203125" style="16" customWidth="1"/>
    <col min="8" max="9" width="30.6640625" style="16" customWidth="1"/>
    <col min="10" max="10" width="7.6640625" style="19" customWidth="1"/>
    <col min="11" max="11" width="9.1640625" style="16" customWidth="1"/>
    <col min="12" max="14" width="10.6640625" style="16" customWidth="1"/>
    <col min="15" max="15" width="21.83203125" style="16" customWidth="1"/>
    <col min="16" max="16" width="10.6640625" style="16" customWidth="1"/>
    <col min="17" max="16384" width="9" style="16"/>
  </cols>
  <sheetData>
    <row r="1" spans="1:15" ht="15">
      <c r="K1" s="20"/>
    </row>
    <row r="2" spans="1:15" ht="25" customHeight="1">
      <c r="A2" s="21" t="inlineStr">
        <is>
          <t>令和７年度　技術相談（指導）記録簿</t>
          <rPh sb="0" eb="2">
            <t>レイワ</t>
          </rPh>
          <rPh sb="3" eb="5">
            <t>ネンド</t>
          </rPh>
          <rPh sb="5" eb="7">
            <t>ヘイネンド</t>
          </rPh>
          <rPh sb="6" eb="8">
            <t>ギジュツ</t>
          </rPh>
          <rPh sb="8" eb="10">
            <t>ソウダン</t>
          </rPh>
          <rPh sb="11" eb="13">
            <t>シドウ</t>
          </rPh>
          <rPh sb="14" eb="17">
            <t>キロクボ</t>
          </rPh>
          <phoneticPr fontId="2"/>
        </is>
      </c>
      <c r="O2" s="16" t="inlineStr">
        <is>
          <t>（様式１）</t>
          <rPh sb="1" eb="3">
            <t>ヨウシキ</t>
          </rPh>
          <phoneticPr fontId="12"/>
        </is>
      </c>
    </row>
    <row r="3" spans="1:15" ht="15" customHeight="1">
      <c r="A3" s="135" t="inlineStr">
        <is>
          <t>※重要なもの、報告が必要と考えられるものについては、技術相談（指導）記録票に必要事項を記入し報告する。</t>
          <rPh sb="1" eb="3">
            <t>ジュウヨウ</t>
          </rPh>
          <rPh sb="7" eb="9">
            <t>ホウコク</t>
          </rPh>
          <rPh sb="10" eb="12">
            <t>ヒツヨウ</t>
          </rPh>
          <rPh sb="13" eb="14">
            <t>カンガ</t>
          </rPh>
          <rPh sb="26" eb="28">
            <t>ギジュツ</t>
          </rPh>
          <rPh sb="28" eb="30">
            <t>ソウダン</t>
          </rPh>
          <rPh sb="31" eb="33">
            <t>シドウ</t>
          </rPh>
          <rPh sb="34" eb="37">
            <t>キロクヒョウ</t>
          </rPh>
          <rPh sb="38" eb="40">
            <t>ヒツヨウ</t>
          </rPh>
          <rPh sb="40" eb="42">
            <t>ジコウ</t>
          </rPh>
          <rPh sb="43" eb="45">
            <t>キニュウ</t>
          </rPh>
          <rPh sb="46" eb="48">
            <t>ホウコク</t>
          </rPh>
          <phoneticPr fontId="2"/>
        </is>
      </c>
      <c r="I3" s="14" t="inlineStr">
        <is>
          <t>研究所名：</t>
        </is>
      </c>
      <c r="J3" s="22"/>
      <c r="K3" s="23"/>
      <c r="L3" s="24"/>
      <c r="M3" s="24"/>
      <c r="N3" s="24"/>
    </row>
    <row r="4" spans="1:15" ht="15" customHeight="1">
      <c r="I4" s="15" t="inlineStr">
        <is>
          <t>部 ・室名：</t>
        </is>
      </c>
      <c r="J4" s="25"/>
      <c r="K4" s="15"/>
    </row>
    <row r="5" spans="1:15" ht="7.5" customHeight="1" thickBot="1"/>
    <row r="6" spans="1:15" ht="20" customHeight="1">
      <c r="A6" s="156" t="inlineStr">
        <is>
          <t>No.</t>
          <phoneticPr fontId="2"/>
        </is>
      </c>
      <c r="B6" s="156" t="inlineStr">
        <is>
          <t>月日</t>
          <rPh sb="0" eb="1">
            <t>ガツ</t>
          </rPh>
          <rPh sb="1" eb="2">
            <t>ニチ</t>
          </rPh>
          <phoneticPr fontId="2"/>
        </is>
      </c>
      <c r="C6" s="44" t="inlineStr">
        <is>
          <t>対応者</t>
          <rPh sb="0" eb="2">
            <t>タイオウ</t>
          </rPh>
          <rPh sb="2" eb="3">
            <t>シャ</t>
          </rPh>
          <phoneticPr fontId="12"/>
        </is>
      </c>
      <c r="D6" s="43"/>
      <c r="E6" s="157" t="inlineStr">
        <is>
          <r>
            <t xml:space="preserve">対応方法
</t>
          </r>
          <r>
            <rPr>
              <sz val="11"/>
              <color rgb="FFFF0000"/>
              <rFont val="ＭＳ Ｐゴシック"/>
              <family val="3"/>
              <charset val="128"/>
              <scheme val="minor"/>
            </rPr>
            <t>(プルダウンから選ぶ)</t>
          </r>
          <rPh sb="0" eb="2">
            <t>タイオウ</t>
          </rPh>
          <rPh sb="2" eb="4">
            <t>ホウホウ</t>
          </rPh>
          <rPh sb="13" eb="14">
            <t>エラ</t>
          </rPh>
          <phoneticPr fontId="2"/>
        </is>
      </c>
      <c r="F6" s="26" t="inlineStr">
        <is>
          <t>相手方名</t>
          <rPh sb="0" eb="3">
            <t>アイテガタ</t>
          </rPh>
          <rPh sb="3" eb="4">
            <t>メイ</t>
          </rPh>
          <phoneticPr fontId="2"/>
        </is>
      </c>
      <c r="G6" s="26" t="inlineStr">
        <is>
          <t>相手方</t>
          <rPh sb="0" eb="3">
            <t>アイテガタ</t>
          </rPh>
          <phoneticPr fontId="2"/>
        </is>
      </c>
      <c r="H6" s="156" t="inlineStr">
        <is>
          <t>相談内容</t>
          <rPh sb="0" eb="2">
            <t>ソウダン</t>
          </rPh>
          <rPh sb="2" eb="4">
            <t>ナイヨウ</t>
          </rPh>
          <phoneticPr fontId="2"/>
        </is>
      </c>
      <c r="I6" s="156" t="inlineStr">
        <is>
          <t>対応内容</t>
          <rPh sb="0" eb="2">
            <t>タイオウ</t>
          </rPh>
          <rPh sb="2" eb="4">
            <t>ナイヨウ</t>
          </rPh>
          <phoneticPr fontId="2"/>
        </is>
      </c>
      <c r="J6" s="26" t="inlineStr">
        <is>
          <t>応答</t>
          <rPh sb="0" eb="2">
            <t>オウトウ</t>
          </rPh>
          <phoneticPr fontId="2"/>
        </is>
      </c>
      <c r="K6" s="32" t="inlineStr">
        <is>
          <t>記録票</t>
          <rPh sb="0" eb="2">
            <t>キロク</t>
          </rPh>
          <rPh sb="2" eb="3">
            <t>ヒョウ</t>
          </rPh>
          <phoneticPr fontId="2"/>
        </is>
      </c>
      <c r="L6" s="151" t="inlineStr">
        <is>
          <t>対応結果</t>
          <rPh sb="0" eb="2">
            <t>タイオウ</t>
          </rPh>
          <rPh sb="2" eb="4">
            <t>ケッカ</t>
          </rPh>
          <phoneticPr fontId="2"/>
        </is>
      </c>
      <c r="M6" s="152"/>
      <c r="N6" s="152"/>
      <c r="O6" s="153"/>
    </row>
    <row r="7" spans="1:15" ht="20" customHeight="1">
      <c r="A7" s="156"/>
      <c r="B7" s="156"/>
      <c r="C7" s="33"/>
      <c r="D7" s="42"/>
      <c r="E7" s="156"/>
      <c r="F7" s="30"/>
      <c r="G7" s="30"/>
      <c r="H7" s="156"/>
      <c r="I7" s="156"/>
      <c r="J7" s="30"/>
      <c r="K7" s="31"/>
      <c r="L7" s="154" t="inlineStr">
        <is>
          <t>解決</t>
          <rPh sb="0" eb="2">
            <t>カイケツ</t>
          </rPh>
          <phoneticPr fontId="2"/>
        </is>
      </c>
      <c r="M7" s="155"/>
      <c r="N7" s="155"/>
      <c r="O7" s="81" t="inlineStr">
        <is>
          <t>未解決</t>
          <rPh sb="0" eb="3">
            <t>ミカイケツ</t>
          </rPh>
          <phoneticPr fontId="2"/>
        </is>
      </c>
    </row>
    <row r="8" spans="1:15" ht="20" customHeight="1">
      <c r="A8" s="156"/>
      <c r="B8" s="156"/>
      <c r="C8" s="27" t="inlineStr">
        <is>
          <t>研究所名</t>
          <rPh sb="0" eb="3">
            <t>ケンキュウショ</t>
          </rPh>
          <rPh sb="3" eb="4">
            <t>メイ</t>
          </rPh>
          <phoneticPr fontId="12"/>
        </is>
      </c>
      <c r="D8" s="27" t="inlineStr">
        <is>
          <t>職・氏名</t>
          <rPh sb="0" eb="1">
            <t>ショク</t>
          </rPh>
          <rPh sb="2" eb="4">
            <t>シメイ</t>
          </rPh>
          <phoneticPr fontId="2"/>
        </is>
      </c>
      <c r="E8" s="156"/>
      <c r="F8" s="27" t="inlineStr">
        <is>
          <t>（所属・氏名・電話）</t>
          <rPh sb="1" eb="3">
            <t>ショゾク</t>
          </rPh>
          <rPh sb="4" eb="6">
            <t>シメイ</t>
          </rPh>
          <rPh sb="7" eb="9">
            <t>デンワ</t>
          </rPh>
          <phoneticPr fontId="2"/>
        </is>
      </c>
      <c r="G8" s="27" t="inlineStr">
        <is>
          <t>所在地</t>
          <rPh sb="0" eb="3">
            <t>ショザイチ</t>
          </rPh>
          <phoneticPr fontId="2"/>
        </is>
      </c>
      <c r="H8" s="156"/>
      <c r="I8" s="156"/>
      <c r="J8" s="27" t="inlineStr">
        <is>
          <t>回数</t>
          <rPh sb="0" eb="2">
            <t>カイスウ</t>
          </rPh>
          <phoneticPr fontId="2"/>
        </is>
      </c>
      <c r="K8" s="33" t="inlineStr">
        <is>
          <t>の有無</t>
          <rPh sb="1" eb="3">
            <t>ウム</t>
          </rPh>
          <phoneticPr fontId="2"/>
        </is>
      </c>
      <c r="L8" s="79" t="inlineStr">
        <is>
          <t>センター</t>
          <phoneticPr fontId="2"/>
        </is>
      </c>
      <c r="M8" s="80" t="inlineStr">
        <is>
          <t>外部紹介</t>
          <rPh sb="0" eb="2">
            <t>ガイブ</t>
          </rPh>
          <rPh sb="2" eb="4">
            <t>ショウカイ</t>
          </rPh>
          <phoneticPr fontId="2"/>
        </is>
      </c>
      <c r="N8" s="80" t="inlineStr">
        <is>
          <t>その他</t>
          <rPh sb="2" eb="3">
            <t>タ</t>
          </rPh>
          <phoneticPr fontId="2"/>
        </is>
      </c>
      <c r="O8" s="81" t="inlineStr">
        <is>
          <t>解決に向けた対応の内容</t>
          <rPh sb="0" eb="2">
            <t>カイケツ</t>
          </rPh>
          <rPh sb="3" eb="4">
            <t>ム</t>
          </rPh>
          <rPh sb="6" eb="8">
            <t>タイオウ</t>
          </rPh>
          <rPh sb="9" eb="11">
            <t>ナイヨウ</t>
          </rPh>
          <phoneticPr fontId="2"/>
        </is>
      </c>
    </row>
    <row r="9" spans="1:15" ht="63" customHeight="1">
      <c r="A9" s="17"/>
      <c r="B9" s="40"/>
      <c r="C9" s="40"/>
      <c r="D9" s="12"/>
      <c r="E9" s="38"/>
      <c r="F9" s="18"/>
      <c r="G9" s="18"/>
      <c r="H9" s="18"/>
      <c r="I9" s="18"/>
      <c r="J9" s="12"/>
      <c r="K9" s="34"/>
      <c r="L9" s="82"/>
      <c r="M9" s="83"/>
      <c r="N9" s="83"/>
      <c r="O9" s="84"/>
    </row>
    <row r="10" spans="1:15" ht="41.25" customHeight="1">
      <c r="A10" s="17"/>
      <c r="B10" s="40"/>
      <c r="C10" s="40"/>
      <c r="D10" s="12"/>
      <c r="E10" s="38"/>
      <c r="F10" s="13"/>
      <c r="G10" s="13"/>
      <c r="H10" s="13"/>
      <c r="I10" s="13"/>
      <c r="J10" s="12"/>
      <c r="K10" s="34"/>
      <c r="L10" s="82"/>
      <c r="M10" s="83"/>
      <c r="N10" s="83"/>
      <c r="O10" s="84"/>
    </row>
    <row r="11" spans="1:15" ht="43.5" customHeight="1">
      <c r="A11" s="17"/>
      <c r="B11" s="40"/>
      <c r="C11" s="40"/>
      <c r="D11" s="12"/>
      <c r="E11" s="38"/>
      <c r="F11" s="13"/>
      <c r="G11" s="13"/>
      <c r="H11" s="13"/>
      <c r="I11" s="13"/>
      <c r="J11" s="12"/>
      <c r="K11" s="34"/>
      <c r="L11" s="82"/>
      <c r="M11" s="83"/>
      <c r="N11" s="83"/>
      <c r="O11" s="84"/>
    </row>
    <row r="12" spans="1:15" ht="43.5" customHeight="1">
      <c r="A12" s="17"/>
      <c r="B12" s="40"/>
      <c r="C12" s="40"/>
      <c r="D12" s="12"/>
      <c r="E12" s="38"/>
      <c r="F12" s="13"/>
      <c r="G12" s="13"/>
      <c r="H12" s="13"/>
      <c r="I12" s="13"/>
      <c r="J12" s="12"/>
      <c r="K12" s="34"/>
      <c r="L12" s="82"/>
      <c r="M12" s="83"/>
      <c r="N12" s="83"/>
      <c r="O12" s="84"/>
    </row>
    <row r="13" spans="1:15" ht="43.5" customHeight="1">
      <c r="A13" s="17"/>
      <c r="B13" s="40"/>
      <c r="C13" s="40"/>
      <c r="D13" s="12"/>
      <c r="E13" s="38"/>
      <c r="F13" s="13"/>
      <c r="G13" s="13"/>
      <c r="H13" s="13"/>
      <c r="I13" s="13"/>
      <c r="J13" s="41"/>
      <c r="K13" s="34"/>
      <c r="L13" s="82"/>
      <c r="M13" s="83"/>
      <c r="N13" s="83"/>
      <c r="O13" s="84"/>
    </row>
    <row r="14" spans="1:15" ht="43.5" customHeight="1">
      <c r="A14" s="17"/>
      <c r="B14" s="40"/>
      <c r="C14" s="40"/>
      <c r="D14" s="12"/>
      <c r="E14" s="38"/>
      <c r="F14" s="13"/>
      <c r="G14" s="13"/>
      <c r="H14" s="13"/>
      <c r="I14" s="13"/>
      <c r="J14" s="41"/>
      <c r="K14" s="34"/>
      <c r="L14" s="82"/>
      <c r="M14" s="83"/>
      <c r="N14" s="83"/>
      <c r="O14" s="84"/>
    </row>
    <row r="15" spans="1:15" ht="43.5" customHeight="1">
      <c r="A15" s="17"/>
      <c r="B15" s="40"/>
      <c r="C15" s="40"/>
      <c r="D15" s="12"/>
      <c r="E15" s="38"/>
      <c r="F15" s="28"/>
      <c r="G15" s="13"/>
      <c r="H15" s="13"/>
      <c r="I15" s="13"/>
      <c r="J15" s="12"/>
      <c r="K15" s="34"/>
      <c r="L15" s="82"/>
      <c r="M15" s="83"/>
      <c r="N15" s="83"/>
      <c r="O15" s="84"/>
    </row>
    <row r="16" spans="1:15" ht="43.5" customHeight="1">
      <c r="A16" s="17"/>
      <c r="B16" s="39"/>
      <c r="C16" s="39"/>
      <c r="D16" s="12"/>
      <c r="E16" s="38"/>
      <c r="F16" s="28"/>
      <c r="G16" s="13"/>
      <c r="H16" s="13"/>
      <c r="I16" s="13"/>
      <c r="J16" s="12"/>
      <c r="K16" s="34"/>
      <c r="L16" s="82"/>
      <c r="M16" s="83"/>
      <c r="N16" s="83"/>
      <c r="O16" s="84"/>
    </row>
    <row r="17" spans="1:15" ht="43.5" customHeight="1">
      <c r="A17" s="17"/>
      <c r="B17" s="39"/>
      <c r="C17" s="39"/>
      <c r="D17" s="12"/>
      <c r="E17" s="38"/>
      <c r="F17" s="13"/>
      <c r="G17" s="13"/>
      <c r="H17" s="13"/>
      <c r="I17" s="13"/>
      <c r="J17" s="12"/>
      <c r="K17" s="34"/>
      <c r="L17" s="82"/>
      <c r="M17" s="83"/>
      <c r="N17" s="83"/>
      <c r="O17" s="84"/>
    </row>
    <row r="18" spans="1:15" ht="43.5" customHeight="1">
      <c r="A18" s="17"/>
      <c r="B18" s="39"/>
      <c r="C18" s="39"/>
      <c r="D18" s="12"/>
      <c r="E18" s="38"/>
      <c r="F18" s="13"/>
      <c r="G18" s="13"/>
      <c r="H18" s="13"/>
      <c r="I18" s="13"/>
      <c r="J18" s="12"/>
      <c r="K18" s="34"/>
      <c r="L18" s="82"/>
      <c r="M18" s="83"/>
      <c r="N18" s="83"/>
      <c r="O18" s="84"/>
    </row>
    <row r="19" spans="1:15" ht="43.5" customHeight="1">
      <c r="A19" s="17"/>
      <c r="B19" s="39"/>
      <c r="C19" s="39"/>
      <c r="D19" s="12"/>
      <c r="E19" s="38"/>
      <c r="F19" s="28"/>
      <c r="G19" s="13"/>
      <c r="H19" s="13"/>
      <c r="I19" s="13"/>
      <c r="J19" s="12"/>
      <c r="K19" s="34"/>
      <c r="L19" s="82"/>
      <c r="M19" s="83"/>
      <c r="N19" s="83"/>
      <c r="O19" s="84"/>
    </row>
    <row r="20" spans="1:15" ht="44.25" customHeight="1">
      <c r="A20" s="17"/>
      <c r="B20" s="39"/>
      <c r="C20" s="39"/>
      <c r="D20" s="12"/>
      <c r="E20" s="38"/>
      <c r="F20" s="28"/>
      <c r="G20" s="13"/>
      <c r="H20" s="13"/>
      <c r="I20" s="13"/>
      <c r="J20" s="12"/>
      <c r="K20" s="34"/>
      <c r="L20" s="82"/>
      <c r="M20" s="83"/>
      <c r="N20" s="83"/>
      <c r="O20" s="84"/>
    </row>
    <row r="21" spans="1:15" ht="42" customHeight="1">
      <c r="A21" s="17"/>
      <c r="B21" s="39"/>
      <c r="C21" s="39"/>
      <c r="D21" s="12"/>
      <c r="E21" s="38"/>
      <c r="F21" s="13"/>
      <c r="G21" s="13"/>
      <c r="H21" s="13"/>
      <c r="I21" s="13"/>
      <c r="J21" s="12"/>
      <c r="K21" s="34"/>
      <c r="L21" s="82"/>
      <c r="M21" s="83"/>
      <c r="N21" s="83"/>
      <c r="O21" s="84"/>
    </row>
    <row r="22" spans="1:15" ht="43.25" customHeight="1">
      <c r="A22" s="17"/>
      <c r="B22" s="39"/>
      <c r="C22" s="39"/>
      <c r="D22" s="12"/>
      <c r="E22" s="38"/>
      <c r="F22" s="13"/>
      <c r="G22" s="13"/>
      <c r="H22" s="13"/>
      <c r="I22" s="13"/>
      <c r="J22" s="12"/>
      <c r="K22" s="34"/>
      <c r="L22" s="118"/>
      <c r="M22" s="119"/>
      <c r="N22" s="119"/>
      <c r="O22" s="120"/>
    </row>
    <row r="23" spans="1:15" ht="40" customHeight="1">
      <c r="A23" s="17"/>
      <c r="B23" s="39"/>
      <c r="C23" s="39"/>
      <c r="D23" s="12"/>
      <c r="E23" s="38"/>
      <c r="F23" s="13"/>
      <c r="G23" s="13"/>
      <c r="H23" s="13"/>
      <c r="I23" s="13"/>
      <c r="J23" s="12"/>
      <c r="K23" s="34"/>
      <c r="L23" s="82"/>
      <c r="M23" s="83"/>
      <c r="N23" s="83"/>
      <c r="O23" s="84"/>
    </row>
    <row r="24" spans="1:15" ht="38.25" customHeight="1" thickBot="1">
      <c r="A24" s="17"/>
      <c r="B24" s="39"/>
      <c r="C24" s="39"/>
      <c r="D24" s="12"/>
      <c r="E24" s="38"/>
      <c r="F24" s="13"/>
      <c r="G24" s="13"/>
      <c r="H24" s="13"/>
      <c r="I24" s="13"/>
      <c r="J24" s="12"/>
      <c r="K24" s="34"/>
      <c r="L24" s="85"/>
      <c r="M24" s="86"/>
      <c r="N24" s="86"/>
      <c r="O24" s="87"/>
    </row>
    <row r="25" spans="1:15" ht="26.25" customHeight="1">
      <c r="A25" s="49"/>
      <c r="E25" s="62">
        <f>SUM(E9:E24)</f>
        <v>0</v>
      </c>
      <c r="J25" s="124">
        <f>SUM(J9:J24)</f>
        <v>0</v>
      </c>
    </row>
    <row r="27" spans="1:15" ht="15" thickBot="1">
      <c r="B27" s="63" t="inlineStr">
        <is>
          <t>相談件数</t>
          <rPh sb="0" eb="2">
            <t>ソウダン</t>
          </rPh>
          <rPh sb="2" eb="4">
            <t>ケンスウ</t>
          </rPh>
          <phoneticPr fontId="12"/>
        </is>
      </c>
      <c r="I27" s="63" t="inlineStr">
        <is>
          <t>応答回数</t>
          <rPh sb="0" eb="2">
            <t>オウトウ</t>
          </rPh>
          <rPh sb="2" eb="4">
            <t>カイスウ</t>
          </rPh>
          <phoneticPr fontId="12"/>
        </is>
      </c>
    </row>
    <row r="28" spans="1:15">
      <c r="B28" s="57" t="inlineStr">
        <is>
          <t>工総研</t>
        </is>
      </c>
      <c r="C28" s="54">
        <f>COUNTIF($C$9:$C$24,B28)</f>
        <v>0</v>
      </c>
      <c r="D28" s="51" t="inlineStr">
        <is>
          <t>電話</t>
        </is>
      </c>
      <c r="E28" s="45">
        <f>COUNTIF($E$9:$E$24,D28)</f>
        <v>0</v>
      </c>
      <c r="I28" s="46" t="inlineStr">
        <is>
          <t>工総研</t>
        </is>
      </c>
      <c r="J28" s="46">
        <f>SUMIF($C$9:$C$24,I28,$J$9:$J$24)</f>
        <v>0</v>
      </c>
      <c r="K28" s="17" t="inlineStr">
        <is>
          <t>電話</t>
        </is>
      </c>
      <c r="L28" s="45">
        <f>SUMIF($E$9:$E$24,K28,$J$9:$J$24)</f>
        <v>0</v>
      </c>
    </row>
    <row r="29" spans="1:15">
      <c r="B29" s="58" t="inlineStr">
        <is>
          <t>弘工研</t>
        </is>
      </c>
      <c r="C29" s="55">
        <f t="shared" ref="C29:C40" si="0">COUNTIF($C$9:$C$24,B29)</f>
        <v>0</v>
      </c>
      <c r="D29" s="51" t="inlineStr">
        <is>
          <t>メール</t>
        </is>
      </c>
      <c r="E29" s="45">
        <f t="shared" ref="E29:E34" si="1">COUNTIF($E$9:$E$24,D29)</f>
        <v>0</v>
      </c>
      <c r="I29" s="46" t="inlineStr">
        <is>
          <t>弘工研</t>
        </is>
      </c>
      <c r="J29" s="46">
        <f t="shared" ref="J29:J40" si="2">SUMIF($C$9:$C$24,I29,$J$9:$J$24)</f>
        <v>0</v>
      </c>
      <c r="K29" s="17" t="inlineStr">
        <is>
          <t>メール</t>
        </is>
      </c>
      <c r="L29" s="45">
        <f t="shared" ref="L29:L34" si="3">SUMIF($E$9:$E$24,K29,$J$9:$J$24)</f>
        <v>0</v>
      </c>
    </row>
    <row r="30" spans="1:15" ht="15" thickBot="1">
      <c r="B30" s="59" t="inlineStr">
        <is>
          <t>八工研</t>
        </is>
      </c>
      <c r="C30" s="56">
        <f t="shared" si="0"/>
        <v>0</v>
      </c>
      <c r="D30" s="51" t="inlineStr">
        <is>
          <t>来所</t>
        </is>
      </c>
      <c r="E30" s="45">
        <f t="shared" si="1"/>
        <v>0</v>
      </c>
      <c r="I30" s="46" t="inlineStr">
        <is>
          <t>八工研</t>
        </is>
      </c>
      <c r="J30" s="46">
        <f t="shared" si="2"/>
        <v>0</v>
      </c>
      <c r="K30" s="17" t="inlineStr">
        <is>
          <t>来所</t>
        </is>
      </c>
      <c r="L30" s="45">
        <f t="shared" si="3"/>
        <v>0</v>
      </c>
    </row>
    <row r="31" spans="1:15">
      <c r="B31" s="74" t="inlineStr">
        <is>
          <t>農総研</t>
        </is>
      </c>
      <c r="C31" s="54">
        <f t="shared" si="0"/>
        <v>0</v>
      </c>
      <c r="D31" s="51" t="inlineStr">
        <is>
          <t>現場</t>
        </is>
      </c>
      <c r="E31" s="45">
        <f t="shared" si="1"/>
        <v>0</v>
      </c>
      <c r="I31" s="35" t="inlineStr">
        <is>
          <t>農総研</t>
        </is>
      </c>
      <c r="J31" s="35">
        <f t="shared" si="2"/>
        <v>0</v>
      </c>
      <c r="K31" s="17" t="inlineStr">
        <is>
          <t>現場</t>
        </is>
      </c>
      <c r="L31" s="45">
        <f t="shared" si="3"/>
        <v>0</v>
      </c>
    </row>
    <row r="32" spans="1:15">
      <c r="B32" s="36" t="inlineStr">
        <is>
          <t>野菜研</t>
        </is>
      </c>
      <c r="C32" s="55">
        <f t="shared" si="0"/>
        <v>0</v>
      </c>
      <c r="D32" s="51" t="inlineStr">
        <is>
          <t>FAX</t>
          <phoneticPr fontId="12"/>
        </is>
      </c>
      <c r="E32" s="45">
        <f t="shared" si="1"/>
        <v>0</v>
      </c>
      <c r="I32" s="35" t="inlineStr">
        <is>
          <t>野菜研</t>
        </is>
      </c>
      <c r="J32" s="35">
        <f t="shared" si="2"/>
        <v>0</v>
      </c>
      <c r="K32" s="17" t="inlineStr">
        <is>
          <t>FAX</t>
          <phoneticPr fontId="12"/>
        </is>
      </c>
      <c r="L32" s="45">
        <f t="shared" si="3"/>
        <v>0</v>
      </c>
    </row>
    <row r="33" spans="2:12">
      <c r="B33" s="36" t="inlineStr">
        <is>
          <t>りんご研</t>
        </is>
      </c>
      <c r="C33" s="55">
        <f t="shared" si="0"/>
        <v>0</v>
      </c>
      <c r="D33" s="51" t="inlineStr">
        <is>
          <t>Web</t>
          <phoneticPr fontId="12"/>
        </is>
      </c>
      <c r="E33" s="45">
        <f t="shared" si="1"/>
        <v>0</v>
      </c>
      <c r="I33" s="35" t="inlineStr">
        <is>
          <t>りんご研</t>
        </is>
      </c>
      <c r="J33" s="35">
        <f t="shared" si="2"/>
        <v>0</v>
      </c>
      <c r="K33" s="17" t="inlineStr">
        <is>
          <t>Web</t>
          <phoneticPr fontId="12"/>
        </is>
      </c>
      <c r="L33" s="45">
        <f t="shared" si="3"/>
        <v>0</v>
      </c>
    </row>
    <row r="34" spans="2:12">
      <c r="B34" s="36" t="inlineStr">
        <is>
          <t>畜産研</t>
        </is>
      </c>
      <c r="C34" s="55">
        <f t="shared" si="0"/>
        <v>0</v>
      </c>
      <c r="D34" s="51" t="inlineStr">
        <is>
          <t>その他</t>
        </is>
      </c>
      <c r="E34" s="45">
        <f t="shared" si="1"/>
        <v>0</v>
      </c>
      <c r="I34" s="35" t="inlineStr">
        <is>
          <t>畜産研</t>
        </is>
      </c>
      <c r="J34" s="35">
        <f t="shared" si="2"/>
        <v>0</v>
      </c>
      <c r="K34" s="17" t="inlineStr">
        <is>
          <t>その他</t>
        </is>
      </c>
      <c r="L34" s="45">
        <f t="shared" si="3"/>
        <v>0</v>
      </c>
    </row>
    <row r="35" spans="2:12" ht="15" thickBot="1">
      <c r="B35" s="37" t="inlineStr">
        <is>
          <t>林業研</t>
        </is>
      </c>
      <c r="C35" s="56">
        <f t="shared" si="0"/>
        <v>0</v>
      </c>
      <c r="D35" s="51"/>
      <c r="E35" s="45"/>
      <c r="I35" s="35" t="inlineStr">
        <is>
          <t>林業研</t>
        </is>
      </c>
      <c r="J35" s="35">
        <f t="shared" si="2"/>
        <v>0</v>
      </c>
      <c r="K35" s="17"/>
      <c r="L35" s="45"/>
    </row>
    <row r="36" spans="2:12">
      <c r="B36" s="60" t="inlineStr">
        <is>
          <t>水総研</t>
        </is>
      </c>
      <c r="C36" s="54">
        <f t="shared" si="0"/>
        <v>0</v>
      </c>
      <c r="D36" s="51"/>
      <c r="E36" s="45"/>
      <c r="I36" s="47" t="inlineStr">
        <is>
          <t>水総研</t>
        </is>
      </c>
      <c r="J36" s="47">
        <f t="shared" si="2"/>
        <v>0</v>
      </c>
      <c r="K36" s="17"/>
      <c r="L36" s="45"/>
    </row>
    <row r="37" spans="2:12" ht="15" thickBot="1">
      <c r="B37" s="61" t="inlineStr">
        <is>
          <t>内水研</t>
        </is>
      </c>
      <c r="C37" s="56">
        <f t="shared" si="0"/>
        <v>0</v>
      </c>
      <c r="D37" s="51"/>
      <c r="E37" s="45"/>
      <c r="I37" s="47" t="inlineStr">
        <is>
          <t>内水研</t>
        </is>
      </c>
      <c r="J37" s="47">
        <f t="shared" si="2"/>
        <v>0</v>
      </c>
      <c r="K37" s="17"/>
      <c r="L37" s="45"/>
    </row>
    <row r="38" spans="2:12">
      <c r="B38" s="75" t="inlineStr">
        <is>
          <t>食総研</t>
        </is>
      </c>
      <c r="C38" s="54">
        <f t="shared" si="0"/>
        <v>0</v>
      </c>
      <c r="D38" s="51"/>
      <c r="E38" s="45"/>
      <c r="I38" s="78" t="inlineStr">
        <is>
          <t>食総研</t>
        </is>
      </c>
      <c r="J38" s="78">
        <f t="shared" si="2"/>
        <v>0</v>
      </c>
      <c r="K38" s="17"/>
      <c r="L38" s="45"/>
    </row>
    <row r="39" spans="2:12">
      <c r="B39" s="76" t="inlineStr">
        <is>
          <t>下北研</t>
        </is>
      </c>
      <c r="C39" s="55">
        <f t="shared" si="0"/>
        <v>0</v>
      </c>
      <c r="D39" s="51"/>
      <c r="E39" s="45"/>
      <c r="I39" s="78" t="inlineStr">
        <is>
          <t>下北研</t>
        </is>
      </c>
      <c r="J39" s="78">
        <f t="shared" si="2"/>
        <v>0</v>
      </c>
      <c r="K39" s="17"/>
      <c r="L39" s="45"/>
    </row>
    <row r="40" spans="2:12" ht="15" thickBot="1">
      <c r="B40" s="77" t="inlineStr">
        <is>
          <t>農加研</t>
        </is>
      </c>
      <c r="C40" s="56">
        <f t="shared" si="0"/>
        <v>0</v>
      </c>
      <c r="D40" s="51"/>
      <c r="E40" s="45"/>
      <c r="I40" s="78" t="inlineStr">
        <is>
          <t>農加研</t>
        </is>
      </c>
      <c r="J40" s="78">
        <f t="shared" si="2"/>
        <v>0</v>
      </c>
      <c r="K40" s="17"/>
      <c r="L40" s="45"/>
    </row>
    <row r="41" spans="2:12">
      <c r="B41" s="52" t="inlineStr">
        <is>
          <t>計</t>
          <rPh sb="0" eb="1">
            <t>ケイ</t>
          </rPh>
          <phoneticPr fontId="12"/>
        </is>
      </c>
      <c r="C41" s="53">
        <f>SUM(C28:C40)</f>
        <v>0</v>
      </c>
      <c r="D41" s="29" t="inlineStr">
        <is>
          <t>計</t>
          <rPh sb="0" eb="1">
            <t>ケイ</t>
          </rPh>
          <phoneticPr fontId="12"/>
        </is>
      </c>
      <c r="E41" s="50">
        <f>SUM(E28:E40)</f>
        <v>0</v>
      </c>
      <c r="I41" s="121" t="inlineStr">
        <is>
          <t>計</t>
        </is>
      </c>
      <c r="J41" s="121">
        <f>SUM(J28:J40)</f>
        <v>0</v>
      </c>
      <c r="K41" s="122" t="inlineStr">
        <is>
          <t>計</t>
          <rPh sb="0" eb="1">
            <t>ケイ</t>
          </rPh>
          <phoneticPr fontId="12"/>
        </is>
      </c>
      <c r="L41" s="123">
        <f>SUM(L28:L40)</f>
        <v>0</v>
      </c>
    </row>
  </sheetData>
  <autoFilter ref="A6:O25" xr:uid="{A4F5509F-C0FA-4242-AA08-001CA9B9E8B3}">
    <filterColumn colId="11" showButton="0"/>
    <filterColumn colId="12" showButton="0"/>
    <filterColumn colId="13" showButton="0"/>
  </autoFilter>
  <mergeCells count="7">
    <mergeCell ref="L6:O6"/>
    <mergeCell ref="L7:N7"/>
    <mergeCell ref="A6:A8"/>
    <mergeCell ref="B6:B8"/>
    <mergeCell ref="E6:E8"/>
    <mergeCell ref="H6:H8"/>
    <mergeCell ref="I6:I8"/>
  </mergeCells>
  <phoneticPr fontId="12"/>
  <dataValidations disablePrompts="1" count="1">
    <dataValidation type="list" allowBlank="1" showInputMessage="1" showErrorMessage="1" sqref="E9:E24" xr:uid="{18CF35C4-5E82-4684-872C-1D6BE8525E4B}">
      <formula1>"電話,メール,来所,現場,FAX,Web,その他"</formula1>
    </dataValidation>
  </dataValidations>
  <pageMargins left="0.70866141732283472" right="0.70866141732283472" top="0.74803149606299213" bottom="0.4" header="0.31496062992125984" footer="0.28000000000000003"/>
  <pageSetup paperSize="9" scale="58" fitToHeight="0" orientation="landscape" r:id="rId1"/>
  <headerFooter>
    <oddFooter>&amp;P ページ</oddFooter>
  </headerFooter>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3675-F072-4302-A3F4-101CF868E956}">
  <sheetPr>
    <tabColor rgb="FF92D050"/>
    <pageSetUpPr fitToPage="1"/>
  </sheetPr>
  <dimension ref="A1:I24"/>
  <sheetViews>
    <sheetView zoomScaleNormal="100" zoomScaleSheetLayoutView="100" workbookViewId="0">
      <selection activeCell="O19" sqref="O19"/>
    </sheetView>
  </sheetViews>
  <sheetFormatPr baseColWidth="10" defaultColWidth="9" defaultRowHeight="14"/>
  <cols>
    <col min="1" max="1" width="14.33203125" style="16" customWidth="1"/>
    <col min="2" max="9" width="9.5" style="16" customWidth="1"/>
    <col min="10" max="22" width="9.6640625" style="16" customWidth="1"/>
    <col min="23" max="16384" width="9" style="16"/>
  </cols>
  <sheetData>
    <row r="1" spans="1:9" ht="21" customHeight="1"/>
    <row r="2" spans="1:9" ht="27.75" customHeight="1">
      <c r="A2" s="16" t="inlineStr">
        <is>
          <t>●月</t>
          <rPh sb="1" eb="2">
            <t>ガツ</t>
          </rPh>
          <phoneticPr fontId="12"/>
        </is>
      </c>
      <c r="E2" s="63"/>
    </row>
    <row r="3" spans="1:9" ht="21" customHeight="1"/>
    <row r="4" spans="1:9" ht="21" customHeight="1">
      <c r="A4" s="62" t="inlineStr">
        <is>
          <t>&lt;問合件数&gt;</t>
          <rPh sb="1" eb="3">
            <t>トイアワ</t>
          </rPh>
          <rPh sb="3" eb="5">
            <t>ケンスウ</t>
          </rPh>
          <phoneticPr fontId="12"/>
        </is>
      </c>
    </row>
    <row r="5" spans="1:9" ht="21" customHeight="1">
      <c r="A5" s="156" t="inlineStr">
        <is>
          <t>研究所</t>
          <rPh sb="0" eb="3">
            <t>ケンキュウショ</t>
          </rPh>
          <phoneticPr fontId="2"/>
        </is>
      </c>
      <c r="B5" s="156" t="inlineStr">
        <is>
          <t>問い合わせ方法</t>
          <rPh sb="0" eb="1">
            <t>ト</t>
          </rPh>
          <rPh sb="2" eb="3">
            <t>ア</t>
          </rPh>
          <rPh sb="5" eb="7">
            <t>ホウホウ</t>
          </rPh>
          <phoneticPr fontId="2"/>
        </is>
      </c>
      <c r="C5" s="156"/>
      <c r="D5" s="156"/>
      <c r="E5" s="156"/>
      <c r="F5" s="156"/>
      <c r="G5" s="156"/>
      <c r="H5" s="156"/>
      <c r="I5" s="45"/>
    </row>
    <row r="6" spans="1:9" ht="21" customHeight="1">
      <c r="A6" s="156"/>
      <c r="B6" s="17" t="inlineStr">
        <is>
          <t>電話</t>
          <rPh sb="0" eb="2">
            <t>デンワ</t>
          </rPh>
          <phoneticPr fontId="2"/>
        </is>
      </c>
      <c r="C6" s="17" t="inlineStr">
        <is>
          <t>メール</t>
          <phoneticPr fontId="2"/>
        </is>
      </c>
      <c r="D6" s="17" t="inlineStr">
        <is>
          <t>来所</t>
          <rPh sb="0" eb="2">
            <t>ライショ</t>
          </rPh>
          <phoneticPr fontId="2"/>
        </is>
      </c>
      <c r="E6" s="17" t="inlineStr">
        <is>
          <t>現場</t>
          <rPh sb="0" eb="2">
            <t>ゲンバ</t>
          </rPh>
          <phoneticPr fontId="2"/>
        </is>
      </c>
      <c r="F6" s="17" t="inlineStr">
        <is>
          <t>ＦＡＸ</t>
          <phoneticPr fontId="2"/>
        </is>
      </c>
      <c r="G6" s="17" t="inlineStr">
        <is>
          <t>WEB</t>
          <phoneticPr fontId="12"/>
        </is>
      </c>
      <c r="H6" s="17" t="inlineStr">
        <is>
          <t>その他</t>
          <rPh sb="2" eb="3">
            <t>タ</t>
          </rPh>
          <phoneticPr fontId="2"/>
        </is>
      </c>
      <c r="I6" s="17" t="inlineStr">
        <is>
          <t>合計</t>
          <rPh sb="0" eb="2">
            <t>ゴウケイ</t>
          </rPh>
          <phoneticPr fontId="12"/>
        </is>
      </c>
    </row>
    <row r="7" spans="1:9" ht="21" customHeight="1">
      <c r="A7" s="64" t="inlineStr">
        <is>
          <t>工業部門</t>
          <rPh sb="0" eb="2">
            <t>コウギョウ</t>
          </rPh>
          <rPh sb="2" eb="4">
            <t>ブモン</t>
          </rPh>
          <phoneticPr fontId="2"/>
        </is>
      </c>
      <c r="B7" s="65"/>
      <c r="C7" s="65"/>
      <c r="D7" s="65"/>
      <c r="E7" s="65"/>
      <c r="F7" s="65"/>
      <c r="G7" s="65"/>
      <c r="H7" s="65"/>
      <c r="I7" s="65">
        <f>SUM(B7:H7)</f>
        <v>0</v>
      </c>
    </row>
    <row r="8" spans="1:9" ht="21" customHeight="1">
      <c r="A8" s="66" t="inlineStr">
        <is>
          <t>農林部門</t>
          <rPh sb="0" eb="2">
            <t>ノウリン</t>
          </rPh>
          <rPh sb="2" eb="4">
            <t>ブモン</t>
          </rPh>
          <phoneticPr fontId="2"/>
        </is>
      </c>
      <c r="B8" s="67"/>
      <c r="C8" s="67"/>
      <c r="D8" s="67"/>
      <c r="E8" s="67"/>
      <c r="F8" s="67"/>
      <c r="G8" s="67"/>
      <c r="H8" s="67"/>
      <c r="I8" s="67">
        <f t="shared" ref="I8:I10" si="0">SUM(B8:H8)</f>
        <v>0</v>
      </c>
    </row>
    <row r="9" spans="1:9" ht="21" customHeight="1">
      <c r="A9" s="68" t="inlineStr">
        <is>
          <t>水産部門</t>
          <rPh sb="0" eb="2">
            <t>スイサン</t>
          </rPh>
          <rPh sb="2" eb="4">
            <t>ブモン</t>
          </rPh>
          <phoneticPr fontId="2"/>
        </is>
      </c>
      <c r="B9" s="69"/>
      <c r="C9" s="69"/>
      <c r="D9" s="69"/>
      <c r="E9" s="69"/>
      <c r="F9" s="69"/>
      <c r="G9" s="69"/>
      <c r="H9" s="69"/>
      <c r="I9" s="69">
        <f t="shared" si="0"/>
        <v>0</v>
      </c>
    </row>
    <row r="10" spans="1:9" ht="21" customHeight="1">
      <c r="A10" s="70" t="inlineStr">
        <is>
          <t>食品加工部門</t>
          <rPh sb="0" eb="2">
            <t>ショクヒン</t>
          </rPh>
          <rPh sb="2" eb="4">
            <t>カコウ</t>
          </rPh>
          <rPh sb="4" eb="6">
            <t>ブモン</t>
          </rPh>
          <phoneticPr fontId="2"/>
        </is>
      </c>
      <c r="B10" s="71"/>
      <c r="C10" s="71"/>
      <c r="D10" s="71"/>
      <c r="E10" s="71"/>
      <c r="F10" s="71"/>
      <c r="G10" s="71"/>
      <c r="H10" s="71"/>
      <c r="I10" s="71">
        <f t="shared" si="0"/>
        <v>0</v>
      </c>
    </row>
    <row r="11" spans="1:9" ht="21" customHeight="1">
      <c r="A11" s="72" t="inlineStr">
        <is>
          <t>計</t>
          <rPh sb="0" eb="1">
            <t>ケイ</t>
          </rPh>
          <phoneticPr fontId="2"/>
        </is>
      </c>
      <c r="B11" s="73">
        <f t="shared" ref="B11:H11" si="1">SUM(B7:B10)</f>
        <v>0</v>
      </c>
      <c r="C11" s="73">
        <f t="shared" si="1"/>
        <v>0</v>
      </c>
      <c r="D11" s="73">
        <f t="shared" si="1"/>
        <v>0</v>
      </c>
      <c r="E11" s="73">
        <f t="shared" si="1"/>
        <v>0</v>
      </c>
      <c r="F11" s="73">
        <f t="shared" si="1"/>
        <v>0</v>
      </c>
      <c r="G11" s="73">
        <f t="shared" si="1"/>
        <v>0</v>
      </c>
      <c r="H11" s="73">
        <f t="shared" si="1"/>
        <v>0</v>
      </c>
      <c r="I11" s="73">
        <f>SUM(B11:H11)</f>
        <v>0</v>
      </c>
    </row>
    <row r="12" spans="1:9" ht="21" customHeight="1">
      <c r="B12" s="48" t="e">
        <f t="shared" ref="B12:H12" si="2">B11/$I$11</f>
        <v>#DIV/0!</v>
      </c>
      <c r="C12" s="48" t="e">
        <f t="shared" si="2"/>
        <v>#DIV/0!</v>
      </c>
      <c r="D12" s="48" t="e">
        <f t="shared" si="2"/>
        <v>#DIV/0!</v>
      </c>
      <c r="E12" s="48" t="e">
        <f t="shared" si="2"/>
        <v>#DIV/0!</v>
      </c>
      <c r="F12" s="48" t="e">
        <f t="shared" si="2"/>
        <v>#DIV/0!</v>
      </c>
      <c r="G12" s="48" t="e">
        <f t="shared" si="2"/>
        <v>#DIV/0!</v>
      </c>
      <c r="H12" s="48" t="e">
        <f t="shared" si="2"/>
        <v>#DIV/0!</v>
      </c>
    </row>
    <row r="13" spans="1:9" ht="21" customHeight="1"/>
    <row r="14" spans="1:9" ht="21" customHeight="1"/>
    <row r="15" spans="1:9" ht="21" customHeight="1"/>
    <row r="16" spans="1:9" ht="21" customHeight="1">
      <c r="A16" s="124" t="inlineStr">
        <is>
          <t>＜応答回数＞</t>
          <rPh sb="1" eb="3">
            <t>オウトウ</t>
          </rPh>
          <rPh sb="3" eb="5">
            <t>カイスウ</t>
          </rPh>
          <phoneticPr fontId="12"/>
        </is>
      </c>
    </row>
    <row r="17" spans="1:9" ht="21" customHeight="1">
      <c r="A17" s="156" t="inlineStr">
        <is>
          <t>研究所</t>
          <rPh sb="0" eb="3">
            <t>ケンキュウショ</t>
          </rPh>
          <phoneticPr fontId="2"/>
        </is>
      </c>
      <c r="B17" s="156" t="inlineStr">
        <is>
          <t>問い合わせ方法</t>
          <rPh sb="0" eb="1">
            <t>ト</t>
          </rPh>
          <rPh sb="2" eb="3">
            <t>ア</t>
          </rPh>
          <rPh sb="5" eb="7">
            <t>ホウホウ</t>
          </rPh>
          <phoneticPr fontId="2"/>
        </is>
      </c>
      <c r="C17" s="156"/>
      <c r="D17" s="156"/>
      <c r="E17" s="156"/>
      <c r="F17" s="156"/>
      <c r="G17" s="156"/>
      <c r="H17" s="156"/>
      <c r="I17" s="45"/>
    </row>
    <row r="18" spans="1:9" ht="21" customHeight="1">
      <c r="A18" s="156"/>
      <c r="B18" s="17" t="inlineStr">
        <is>
          <t>電話</t>
          <rPh sb="0" eb="2">
            <t>デンワ</t>
          </rPh>
          <phoneticPr fontId="2"/>
        </is>
      </c>
      <c r="C18" s="17" t="inlineStr">
        <is>
          <t>メール</t>
          <phoneticPr fontId="2"/>
        </is>
      </c>
      <c r="D18" s="17" t="inlineStr">
        <is>
          <t>来所</t>
          <rPh sb="0" eb="2">
            <t>ライショ</t>
          </rPh>
          <phoneticPr fontId="2"/>
        </is>
      </c>
      <c r="E18" s="17" t="inlineStr">
        <is>
          <t>現場</t>
          <rPh sb="0" eb="2">
            <t>ゲンバ</t>
          </rPh>
          <phoneticPr fontId="2"/>
        </is>
      </c>
      <c r="F18" s="17" t="inlineStr">
        <is>
          <t>ＦＡＸ</t>
          <phoneticPr fontId="2"/>
        </is>
      </c>
      <c r="G18" s="17" t="inlineStr">
        <is>
          <t>WEB</t>
          <phoneticPr fontId="12"/>
        </is>
      </c>
      <c r="H18" s="17" t="inlineStr">
        <is>
          <t>その他</t>
          <rPh sb="2" eb="3">
            <t>タ</t>
          </rPh>
          <phoneticPr fontId="2"/>
        </is>
      </c>
      <c r="I18" s="17" t="inlineStr">
        <is>
          <t>合計</t>
          <rPh sb="0" eb="2">
            <t>ゴウケイ</t>
          </rPh>
          <phoneticPr fontId="12"/>
        </is>
      </c>
    </row>
    <row r="19" spans="1:9" ht="21" customHeight="1">
      <c r="A19" s="64" t="inlineStr">
        <is>
          <t>工業部門</t>
          <rPh sb="0" eb="2">
            <t>コウギョウ</t>
          </rPh>
          <rPh sb="2" eb="4">
            <t>ブモン</t>
          </rPh>
          <phoneticPr fontId="2"/>
        </is>
      </c>
      <c r="B19" s="65"/>
      <c r="C19" s="65"/>
      <c r="D19" s="65"/>
      <c r="E19" s="65"/>
      <c r="F19" s="65"/>
      <c r="G19" s="65"/>
      <c r="H19" s="65"/>
      <c r="I19" s="65">
        <f>SUM(B19:H19)</f>
        <v>0</v>
      </c>
    </row>
    <row r="20" spans="1:9" ht="21" customHeight="1">
      <c r="A20" s="66" t="inlineStr">
        <is>
          <t>農林部門</t>
          <rPh sb="0" eb="2">
            <t>ノウリン</t>
          </rPh>
          <rPh sb="2" eb="4">
            <t>ブモン</t>
          </rPh>
          <phoneticPr fontId="2"/>
        </is>
      </c>
      <c r="B20" s="67"/>
      <c r="C20" s="67"/>
      <c r="D20" s="67"/>
      <c r="E20" s="67"/>
      <c r="F20" s="67"/>
      <c r="G20" s="67"/>
      <c r="H20" s="67"/>
      <c r="I20" s="67">
        <f t="shared" ref="I20:I22" si="3">SUM(B20:H20)</f>
        <v>0</v>
      </c>
    </row>
    <row r="21" spans="1:9" ht="21" customHeight="1">
      <c r="A21" s="68" t="inlineStr">
        <is>
          <t>水産部門</t>
          <rPh sb="0" eb="2">
            <t>スイサン</t>
          </rPh>
          <rPh sb="2" eb="4">
            <t>ブモン</t>
          </rPh>
          <phoneticPr fontId="2"/>
        </is>
      </c>
      <c r="B21" s="69"/>
      <c r="C21" s="69"/>
      <c r="D21" s="69"/>
      <c r="E21" s="69"/>
      <c r="F21" s="69"/>
      <c r="G21" s="69"/>
      <c r="H21" s="69"/>
      <c r="I21" s="69">
        <f t="shared" si="3"/>
        <v>0</v>
      </c>
    </row>
    <row r="22" spans="1:9" ht="21" customHeight="1">
      <c r="A22" s="70" t="inlineStr">
        <is>
          <t>食品加工部門</t>
          <rPh sb="0" eb="2">
            <t>ショクヒン</t>
          </rPh>
          <rPh sb="2" eb="4">
            <t>カコウ</t>
          </rPh>
          <rPh sb="4" eb="6">
            <t>ブモン</t>
          </rPh>
          <phoneticPr fontId="2"/>
        </is>
      </c>
      <c r="B22" s="71"/>
      <c r="C22" s="71"/>
      <c r="D22" s="71"/>
      <c r="E22" s="71"/>
      <c r="F22" s="71"/>
      <c r="G22" s="71"/>
      <c r="H22" s="71"/>
      <c r="I22" s="71">
        <f t="shared" si="3"/>
        <v>0</v>
      </c>
    </row>
    <row r="23" spans="1:9" ht="21" customHeight="1">
      <c r="A23" s="72" t="inlineStr">
        <is>
          <t>計</t>
          <rPh sb="0" eb="1">
            <t>ケイ</t>
          </rPh>
          <phoneticPr fontId="2"/>
        </is>
      </c>
      <c r="B23" s="73">
        <f t="shared" ref="B23:H23" si="4">SUM(B19:B22)</f>
        <v>0</v>
      </c>
      <c r="C23" s="73">
        <f t="shared" si="4"/>
        <v>0</v>
      </c>
      <c r="D23" s="73">
        <f t="shared" si="4"/>
        <v>0</v>
      </c>
      <c r="E23" s="73">
        <f t="shared" si="4"/>
        <v>0</v>
      </c>
      <c r="F23" s="73">
        <f t="shared" si="4"/>
        <v>0</v>
      </c>
      <c r="G23" s="73">
        <f t="shared" si="4"/>
        <v>0</v>
      </c>
      <c r="H23" s="73">
        <f t="shared" si="4"/>
        <v>0</v>
      </c>
      <c r="I23" s="73">
        <f>SUM(B23:H23)</f>
        <v>0</v>
      </c>
    </row>
    <row r="24" spans="1:9" ht="21" customHeight="1">
      <c r="B24" s="48" t="e">
        <f>B23/$I$23</f>
        <v>#DIV/0!</v>
      </c>
      <c r="C24" s="48" t="e">
        <f t="shared" ref="C24:H24" si="5">C23/$I$23</f>
        <v>#DIV/0!</v>
      </c>
      <c r="D24" s="48" t="e">
        <f t="shared" si="5"/>
        <v>#DIV/0!</v>
      </c>
      <c r="E24" s="48" t="e">
        <f t="shared" si="5"/>
        <v>#DIV/0!</v>
      </c>
      <c r="F24" s="48" t="e">
        <f t="shared" si="5"/>
        <v>#DIV/0!</v>
      </c>
      <c r="G24" s="48" t="e">
        <f t="shared" si="5"/>
        <v>#DIV/0!</v>
      </c>
      <c r="H24" s="48" t="e">
        <f t="shared" si="5"/>
        <v>#DIV/0!</v>
      </c>
    </row>
  </sheetData>
  <mergeCells count="4">
    <mergeCell ref="A5:A6"/>
    <mergeCell ref="B5:H5"/>
    <mergeCell ref="A17:A18"/>
    <mergeCell ref="B17:H17"/>
  </mergeCells>
  <phoneticPr fontId="12"/>
  <pageMargins left="0.70866141732283472" right="0.70866141732283472" top="0.74803149606299213" bottom="0.4" header="0.31496062992125984" footer="0.28000000000000003"/>
  <pageSetup paperSize="9" fitToHeight="0" orientation="landscape" r:id="rId1"/>
  <headerFooter>
    <oddFooter>&amp;P ページ</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ED5E-A39E-4B6F-886D-DC4961F3D4CC}">
  <sheetPr>
    <tabColor rgb="FFFFFF00"/>
    <pageSetUpPr fitToPage="1"/>
  </sheetPr>
  <dimension ref="A1:AC21"/>
  <sheetViews>
    <sheetView workbookViewId="0">
      <selection activeCell="V20" sqref="V20"/>
    </sheetView>
  </sheetViews>
  <sheetFormatPr baseColWidth="10" defaultColWidth="8.83203125" defaultRowHeight="15"/>
  <cols>
    <col min="1" max="1" width="19.6640625" style="88" customWidth="1"/>
    <col min="2" max="14" width="6.83203125" style="88" customWidth="1"/>
    <col min="15" max="15" width="8.83203125" style="88"/>
    <col min="16" max="16" width="19.6640625" style="88" customWidth="1"/>
    <col min="17" max="29" width="6.83203125" style="88" customWidth="1"/>
    <col min="30" max="16384" width="8.83203125" style="88"/>
  </cols>
  <sheetData>
    <row r="1" spans="1:29" ht="18" customHeight="1">
      <c r="A1" s="175"/>
      <c r="B1" s="175"/>
      <c r="C1" s="175"/>
      <c r="D1" s="175"/>
      <c r="E1" s="175"/>
      <c r="F1" s="175"/>
      <c r="G1" s="175"/>
      <c r="H1" s="175"/>
      <c r="I1" s="175"/>
      <c r="J1" s="175"/>
      <c r="K1" s="175"/>
      <c r="L1" s="175"/>
      <c r="M1" s="175"/>
      <c r="N1" s="175"/>
      <c r="P1" s="175"/>
      <c r="Q1" s="175"/>
      <c r="R1" s="175"/>
      <c r="S1" s="175"/>
      <c r="T1" s="175"/>
      <c r="U1" s="175"/>
      <c r="V1" s="175"/>
      <c r="W1" s="175"/>
      <c r="X1" s="175"/>
      <c r="Y1" s="175"/>
      <c r="Z1" s="175"/>
      <c r="AA1" s="175"/>
      <c r="AB1" s="175"/>
      <c r="AC1" s="175"/>
    </row>
    <row r="2" spans="1:29" ht="28.5" customHeight="1">
      <c r="A2" s="125" t="inlineStr">
        <is>
          <r>
            <t>技術相談・指導等の</t>
          </r>
          <r>
            <rPr>
              <b/>
              <sz val="16"/>
              <color rgb="FFFF0000"/>
              <rFont val="ＭＳ Ｐゴシック"/>
              <family val="3"/>
              <charset val="128"/>
              <scheme val="minor"/>
            </rPr>
            <t>件数</t>
          </r>
          <rPh sb="0" eb="2">
            <t>ギジュツ</t>
          </rPh>
          <rPh sb="2" eb="4">
            <t>ソウダン</t>
          </rPh>
          <rPh sb="5" eb="7">
            <t>シドウ</t>
          </rPh>
          <rPh sb="7" eb="8">
            <t>トウ</t>
          </rPh>
          <rPh sb="9" eb="11">
            <t>ケンスウ</t>
          </rPh>
          <phoneticPr fontId="12"/>
        </is>
      </c>
      <c r="B2" s="126"/>
      <c r="C2" s="126"/>
      <c r="D2" s="129"/>
      <c r="E2" s="129"/>
      <c r="F2" s="129"/>
      <c r="G2" s="129"/>
      <c r="H2" s="129"/>
      <c r="I2" s="129"/>
      <c r="J2" s="129"/>
      <c r="K2" s="129"/>
      <c r="L2" s="129"/>
      <c r="M2" s="129"/>
      <c r="N2" s="129"/>
      <c r="P2" s="127" t="inlineStr">
        <is>
          <r>
            <t>技術相談・指導等の</t>
          </r>
          <r>
            <rPr>
              <b/>
              <sz val="16"/>
              <color rgb="FFFF0000"/>
              <rFont val="ＭＳ Ｐゴシック"/>
              <family val="3"/>
              <charset val="128"/>
              <scheme val="minor"/>
            </rPr>
            <t>応答回数</t>
          </r>
          <rPh sb="0" eb="2">
            <t>ギジュツ</t>
          </rPh>
          <rPh sb="2" eb="4">
            <t>ソウダン</t>
          </rPh>
          <rPh sb="5" eb="7">
            <t>シドウ</t>
          </rPh>
          <rPh sb="7" eb="8">
            <t>トウ</t>
          </rPh>
          <rPh sb="9" eb="11">
            <t>オウトウ</t>
          </rPh>
          <rPh sb="11" eb="13">
            <t>カイスウ</t>
          </rPh>
          <phoneticPr fontId="12"/>
        </is>
      </c>
      <c r="Q2" s="128"/>
      <c r="R2" s="128"/>
      <c r="S2" s="128"/>
      <c r="T2" s="129"/>
      <c r="U2" s="129"/>
      <c r="V2" s="129"/>
      <c r="W2" s="129"/>
      <c r="X2" s="129"/>
      <c r="Y2" s="129"/>
      <c r="Z2" s="129"/>
      <c r="AA2" s="129"/>
      <c r="AB2" s="129"/>
      <c r="AC2" s="129"/>
    </row>
    <row r="3" spans="1:29" ht="23.75" customHeight="1">
      <c r="A3" s="117" t="inlineStr">
        <is>
          <t>研究所</t>
          <rPh sb="0" eb="3">
            <t>ケンキュウジョ</t>
          </rPh>
          <phoneticPr fontId="2"/>
        </is>
      </c>
      <c r="B3" s="116" t="inlineStr">
        <is>
          <t>4月</t>
          <rPh sb="1" eb="2">
            <t>ガツ</t>
          </rPh>
          <phoneticPr fontId="2"/>
        </is>
      </c>
      <c r="C3" s="116" t="inlineStr">
        <is>
          <t>5月</t>
        </is>
      </c>
      <c r="D3" s="116" t="inlineStr">
        <is>
          <t>6月</t>
        </is>
      </c>
      <c r="E3" s="116" t="inlineStr">
        <is>
          <t>7月</t>
        </is>
      </c>
      <c r="F3" s="116" t="inlineStr">
        <is>
          <t>8月</t>
        </is>
      </c>
      <c r="G3" s="116" t="inlineStr">
        <is>
          <t>9月</t>
        </is>
      </c>
      <c r="H3" s="116" t="inlineStr">
        <is>
          <t>10月</t>
        </is>
      </c>
      <c r="I3" s="116" t="inlineStr">
        <is>
          <t>11月</t>
        </is>
      </c>
      <c r="J3" s="116" t="inlineStr">
        <is>
          <t>12月</t>
        </is>
      </c>
      <c r="K3" s="116" t="inlineStr">
        <is>
          <t>1月</t>
        </is>
      </c>
      <c r="L3" s="116" t="inlineStr">
        <is>
          <t>2月</t>
        </is>
      </c>
      <c r="M3" s="116" t="inlineStr">
        <is>
          <t>3月</t>
        </is>
      </c>
      <c r="N3" s="116" t="inlineStr">
        <is>
          <t>合計</t>
          <rPh sb="0" eb="2">
            <t>ゴウケイ</t>
          </rPh>
          <phoneticPr fontId="2"/>
        </is>
      </c>
      <c r="P3" s="117" t="inlineStr">
        <is>
          <t>研究所</t>
          <rPh sb="0" eb="3">
            <t>ケンキュウジョ</t>
          </rPh>
          <phoneticPr fontId="2"/>
        </is>
      </c>
      <c r="Q3" s="116" t="inlineStr">
        <is>
          <t>4月</t>
          <rPh sb="1" eb="2">
            <t>ガツ</t>
          </rPh>
          <phoneticPr fontId="2"/>
        </is>
      </c>
      <c r="R3" s="116" t="inlineStr">
        <is>
          <t>5月</t>
        </is>
      </c>
      <c r="S3" s="116" t="inlineStr">
        <is>
          <t>6月</t>
        </is>
      </c>
      <c r="T3" s="116" t="inlineStr">
        <is>
          <t>7月</t>
        </is>
      </c>
      <c r="U3" s="116" t="inlineStr">
        <is>
          <t>8月</t>
        </is>
      </c>
      <c r="V3" s="116" t="inlineStr">
        <is>
          <t>9月</t>
        </is>
      </c>
      <c r="W3" s="116" t="inlineStr">
        <is>
          <t>10月</t>
        </is>
      </c>
      <c r="X3" s="116" t="inlineStr">
        <is>
          <t>11月</t>
        </is>
      </c>
      <c r="Y3" s="116" t="inlineStr">
        <is>
          <t>12月</t>
        </is>
      </c>
      <c r="Z3" s="116" t="inlineStr">
        <is>
          <t>1月</t>
        </is>
      </c>
      <c r="AA3" s="116" t="inlineStr">
        <is>
          <t>2月</t>
        </is>
      </c>
      <c r="AB3" s="116" t="inlineStr">
        <is>
          <t>3月</t>
        </is>
      </c>
      <c r="AC3" s="116" t="inlineStr">
        <is>
          <t>合計</t>
          <rPh sb="0" eb="2">
            <t>ゴウケイ</t>
          </rPh>
          <phoneticPr fontId="2"/>
        </is>
      </c>
    </row>
    <row r="4" spans="1:29" ht="23.75" customHeight="1">
      <c r="A4" s="115" t="inlineStr">
        <is>
          <t>全体計</t>
          <rPh sb="0" eb="2">
            <t>ゼンタイ</t>
          </rPh>
          <rPh sb="2" eb="3">
            <t>ケイ</t>
          </rPh>
          <phoneticPr fontId="19"/>
        </is>
      </c>
      <c r="B4" s="114">
        <f t="shared" ref="B4:N4" si="0">B5+B9+B15+B18</f>
        <v>0</v>
      </c>
      <c r="C4" s="114">
        <f t="shared" si="0"/>
        <v>0</v>
      </c>
      <c r="D4" s="114">
        <f t="shared" si="0"/>
        <v>0</v>
      </c>
      <c r="E4" s="114">
        <f t="shared" si="0"/>
        <v>0</v>
      </c>
      <c r="F4" s="114">
        <f t="shared" si="0"/>
        <v>0</v>
      </c>
      <c r="G4" s="114">
        <f t="shared" si="0"/>
        <v>8</v>
      </c>
      <c r="H4" s="114">
        <f t="shared" si="0"/>
        <v>0</v>
      </c>
      <c r="I4" s="114">
        <f t="shared" si="0"/>
        <v>0</v>
      </c>
      <c r="J4" s="114">
        <f t="shared" si="0"/>
        <v>0</v>
      </c>
      <c r="K4" s="114">
        <f t="shared" si="0"/>
        <v>0</v>
      </c>
      <c r="L4" s="114">
        <f t="shared" si="0"/>
        <v>0</v>
      </c>
      <c r="M4" s="114">
        <f t="shared" si="0"/>
        <v>0</v>
      </c>
      <c r="N4" s="114">
        <f t="shared" si="0"/>
        <v>8</v>
      </c>
      <c r="P4" s="115" t="inlineStr">
        <is>
          <t>全体計</t>
          <rPh sb="0" eb="2">
            <t>ゼンタイ</t>
          </rPh>
          <rPh sb="2" eb="3">
            <t>ケイ</t>
          </rPh>
          <phoneticPr fontId="19"/>
        </is>
      </c>
      <c r="Q4" s="114">
        <f t="shared" ref="Q4:AC4" si="1">Q5+Q9+Q15+Q18</f>
        <v>0</v>
      </c>
      <c r="R4" s="114">
        <f t="shared" si="1"/>
        <v>0</v>
      </c>
      <c r="S4" s="114">
        <f t="shared" si="1"/>
        <v>0</v>
      </c>
      <c r="T4" s="114">
        <f t="shared" si="1"/>
        <v>0</v>
      </c>
      <c r="U4" s="114">
        <f t="shared" si="1"/>
        <v>0</v>
      </c>
      <c r="V4" s="114">
        <f t="shared" si="1"/>
        <v>8</v>
      </c>
      <c r="W4" s="114">
        <f t="shared" si="1"/>
        <v>0</v>
      </c>
      <c r="X4" s="114">
        <f t="shared" si="1"/>
        <v>0</v>
      </c>
      <c r="Y4" s="114">
        <f t="shared" si="1"/>
        <v>0</v>
      </c>
      <c r="Z4" s="114">
        <f t="shared" si="1"/>
        <v>0</v>
      </c>
      <c r="AA4" s="114">
        <f t="shared" si="1"/>
        <v>0</v>
      </c>
      <c r="AB4" s="114">
        <f t="shared" si="1"/>
        <v>0</v>
      </c>
      <c r="AC4" s="114">
        <f t="shared" si="1"/>
        <v>8</v>
      </c>
    </row>
    <row r="5" spans="1:29" ht="23.75" customHeight="1">
      <c r="A5" s="113" t="inlineStr">
        <is>
          <t>工業部門</t>
          <rPh sb="0" eb="2">
            <t>コウギョウ</t>
          </rPh>
          <rPh sb="2" eb="4">
            <t>ブモン</t>
          </rPh>
          <phoneticPr fontId="19"/>
        </is>
      </c>
      <c r="B5" s="111">
        <f t="shared" ref="B5:N5" si="2">SUM(B6:B8)</f>
        <v>0</v>
      </c>
      <c r="C5" s="111">
        <f t="shared" si="2"/>
        <v>0</v>
      </c>
      <c r="D5" s="111">
        <f t="shared" si="2"/>
        <v>0</v>
      </c>
      <c r="E5" s="111">
        <f t="shared" si="2"/>
        <v>0</v>
      </c>
      <c r="F5" s="111">
        <f t="shared" si="2"/>
        <v>0</v>
      </c>
      <c r="G5" s="111">
        <f t="shared" si="2"/>
        <v>0</v>
      </c>
      <c r="H5" s="111">
        <f t="shared" si="2"/>
        <v>0</v>
      </c>
      <c r="I5" s="111">
        <f t="shared" si="2"/>
        <v>0</v>
      </c>
      <c r="J5" s="111">
        <f t="shared" si="2"/>
        <v>0</v>
      </c>
      <c r="K5" s="111">
        <f t="shared" si="2"/>
        <v>0</v>
      </c>
      <c r="L5" s="111">
        <f t="shared" si="2"/>
        <v>0</v>
      </c>
      <c r="M5" s="111">
        <f t="shared" si="2"/>
        <v>0</v>
      </c>
      <c r="N5" s="111">
        <f t="shared" si="2"/>
        <v>0</v>
      </c>
      <c r="O5" s="91"/>
      <c r="P5" s="112" t="inlineStr">
        <is>
          <t>工業部門</t>
          <rPh sb="0" eb="2">
            <t>コウギョウ</t>
          </rPh>
          <rPh sb="2" eb="4">
            <t>ブモン</t>
          </rPh>
          <phoneticPr fontId="19"/>
        </is>
      </c>
      <c r="Q5" s="111">
        <f t="shared" ref="Q5:AC5" si="3">SUM(Q6:Q8)</f>
        <v>0</v>
      </c>
      <c r="R5" s="111">
        <f t="shared" si="3"/>
        <v>0</v>
      </c>
      <c r="S5" s="111">
        <f t="shared" si="3"/>
        <v>0</v>
      </c>
      <c r="T5" s="111">
        <f t="shared" si="3"/>
        <v>0</v>
      </c>
      <c r="U5" s="111">
        <f t="shared" si="3"/>
        <v>0</v>
      </c>
      <c r="V5" s="111">
        <f t="shared" si="3"/>
        <v>0</v>
      </c>
      <c r="W5" s="111">
        <f t="shared" si="3"/>
        <v>0</v>
      </c>
      <c r="X5" s="111">
        <f t="shared" si="3"/>
        <v>0</v>
      </c>
      <c r="Y5" s="111">
        <f t="shared" si="3"/>
        <v>0</v>
      </c>
      <c r="Z5" s="111">
        <f t="shared" si="3"/>
        <v>0</v>
      </c>
      <c r="AA5" s="111">
        <f t="shared" si="3"/>
        <v>0</v>
      </c>
      <c r="AB5" s="111">
        <f t="shared" si="3"/>
        <v>0</v>
      </c>
      <c r="AC5" s="111">
        <f t="shared" si="3"/>
        <v>0</v>
      </c>
    </row>
    <row r="6" spans="1:29" ht="23.75" customHeight="1">
      <c r="A6" s="110" t="inlineStr">
        <is>
          <t>工業総合研究所</t>
          <rPh sb="0" eb="2">
            <t>コウギョウ</t>
          </rPh>
          <rPh sb="2" eb="4">
            <t>ソウゴウ</t>
          </rPh>
          <rPh sb="4" eb="7">
            <t>ケンキュウショ</t>
          </rPh>
          <phoneticPr fontId="12"/>
        </is>
      </c>
      <c r="B6" s="108">
        <f>'４月'!C27</f>
        <v>0</v>
      </c>
      <c r="C6" s="108">
        <f>'５月'!C24</f>
        <v>0</v>
      </c>
      <c r="D6" s="108">
        <f>'６月'!C25</f>
        <v>0</v>
      </c>
      <c r="E6" s="108">
        <f>'７月'!C28</f>
        <v>0</v>
      </c>
      <c r="F6" s="108">
        <f>'８月'!C28</f>
        <v>0</v>
      </c>
      <c r="G6" s="108">
        <f>'９月'!C28</f>
        <v>0</v>
      </c>
      <c r="H6" s="108">
        <f>'10月'!C28</f>
        <v>0</v>
      </c>
      <c r="I6" s="108">
        <f>'11月'!C28</f>
        <v>0</v>
      </c>
      <c r="J6" s="108">
        <f>'12月'!C28</f>
        <v>0</v>
      </c>
      <c r="K6" s="108">
        <f>'１月'!C28</f>
        <v>0</v>
      </c>
      <c r="L6" s="108">
        <f>'２月'!C28</f>
        <v>0</v>
      </c>
      <c r="M6" s="108">
        <f>'３月'!C28</f>
        <v>0</v>
      </c>
      <c r="N6" s="108">
        <f>SUM(B6:M6)</f>
        <v>0</v>
      </c>
      <c r="O6" s="91"/>
      <c r="P6" s="109" t="inlineStr">
        <is>
          <t>工業総合研究所</t>
          <rPh sb="0" eb="2">
            <t>コウギョウ</t>
          </rPh>
          <rPh sb="2" eb="4">
            <t>ソウゴウ</t>
          </rPh>
          <rPh sb="4" eb="7">
            <t>ケンキュウショ</t>
          </rPh>
          <phoneticPr fontId="12"/>
        </is>
      </c>
      <c r="Q6" s="108">
        <f>'４月'!J27</f>
        <v>0</v>
      </c>
      <c r="R6" s="108">
        <f>'５月'!J24</f>
        <v>0</v>
      </c>
      <c r="S6" s="108">
        <f>'６月'!J25</f>
        <v>0</v>
      </c>
      <c r="T6" s="108">
        <f>'７月'!J28</f>
        <v>0</v>
      </c>
      <c r="U6" s="108">
        <f>'８月'!J28</f>
        <v>0</v>
      </c>
      <c r="V6" s="108">
        <f>'９月'!J28</f>
        <v>0</v>
      </c>
      <c r="W6" s="108">
        <f>'10月'!J28</f>
        <v>0</v>
      </c>
      <c r="X6" s="108">
        <f>'11月'!J28</f>
        <v>0</v>
      </c>
      <c r="Y6" s="108">
        <f>'12月'!J28</f>
        <v>0</v>
      </c>
      <c r="Z6" s="108">
        <f>'１月'!J28</f>
        <v>0</v>
      </c>
      <c r="AA6" s="108">
        <f>'２月'!J28</f>
        <v>0</v>
      </c>
      <c r="AB6" s="108">
        <f>'３月'!J28</f>
        <v>0</v>
      </c>
      <c r="AC6" s="108">
        <f>SUM(Q6:AB6)</f>
        <v>0</v>
      </c>
    </row>
    <row r="7" spans="1:29" ht="23.75" customHeight="1">
      <c r="A7" s="110" t="inlineStr">
        <is>
          <t>弘前工業研究所</t>
          <rPh sb="0" eb="2">
            <t>ヒロサキ</t>
          </rPh>
          <rPh sb="2" eb="4">
            <t>コウギョウ</t>
          </rPh>
          <rPh sb="4" eb="7">
            <t>ケンキュウショ</t>
          </rPh>
          <phoneticPr fontId="12"/>
        </is>
      </c>
      <c r="B7" s="108">
        <f>'４月'!C28</f>
        <v>0</v>
      </c>
      <c r="C7" s="108">
        <f>'５月'!C25</f>
        <v>0</v>
      </c>
      <c r="D7" s="108">
        <f>'６月'!C26</f>
        <v>0</v>
      </c>
      <c r="E7" s="108">
        <f>'７月'!C29</f>
        <v>0</v>
      </c>
      <c r="F7" s="108">
        <f>'８月'!C29</f>
        <v>0</v>
      </c>
      <c r="G7" s="108">
        <f>'９月'!C29</f>
        <v>0</v>
      </c>
      <c r="H7" s="108">
        <f>'10月'!C29</f>
        <v>0</v>
      </c>
      <c r="I7" s="108">
        <f>'11月'!C29</f>
        <v>0</v>
      </c>
      <c r="J7" s="108">
        <f>'12月'!C29</f>
        <v>0</v>
      </c>
      <c r="K7" s="108">
        <f>'１月'!C29</f>
        <v>0</v>
      </c>
      <c r="L7" s="108">
        <f>'２月'!C29</f>
        <v>0</v>
      </c>
      <c r="M7" s="108">
        <f>'３月'!C29</f>
        <v>0</v>
      </c>
      <c r="N7" s="108">
        <f>SUM(B7:M7)</f>
        <v>0</v>
      </c>
      <c r="O7" s="91"/>
      <c r="P7" s="109" t="inlineStr">
        <is>
          <t>弘前工業研究所</t>
          <rPh sb="0" eb="2">
            <t>ヒロサキ</t>
          </rPh>
          <rPh sb="2" eb="4">
            <t>コウギョウ</t>
          </rPh>
          <rPh sb="4" eb="7">
            <t>ケンキュウショ</t>
          </rPh>
          <phoneticPr fontId="12"/>
        </is>
      </c>
      <c r="Q7" s="108">
        <f>'４月'!J28</f>
        <v>0</v>
      </c>
      <c r="R7" s="108">
        <f>'５月'!J25</f>
        <v>0</v>
      </c>
      <c r="S7" s="108">
        <f>'６月'!J26</f>
        <v>0</v>
      </c>
      <c r="T7" s="108">
        <f>'７月'!J29</f>
        <v>0</v>
      </c>
      <c r="U7" s="108">
        <f>'８月'!J29</f>
        <v>0</v>
      </c>
      <c r="V7" s="108">
        <f>'９月'!J29</f>
        <v>0</v>
      </c>
      <c r="W7" s="108">
        <f>'10月'!J29</f>
        <v>0</v>
      </c>
      <c r="X7" s="108">
        <f>'11月'!J29</f>
        <v>0</v>
      </c>
      <c r="Y7" s="108">
        <f>'12月'!J29</f>
        <v>0</v>
      </c>
      <c r="Z7" s="108">
        <f>'１月'!J29</f>
        <v>0</v>
      </c>
      <c r="AA7" s="108">
        <f>'２月'!J29</f>
        <v>0</v>
      </c>
      <c r="AB7" s="108">
        <f>'３月'!J29</f>
        <v>0</v>
      </c>
      <c r="AC7" s="108">
        <f>SUM(Q7:AB7)</f>
        <v>0</v>
      </c>
    </row>
    <row r="8" spans="1:29" ht="23.75" customHeight="1">
      <c r="A8" s="110" t="inlineStr">
        <is>
          <t>八戸工業研究所</t>
          <rPh sb="0" eb="2">
            <t>ハチノヘ</t>
          </rPh>
          <rPh sb="2" eb="7">
            <t>コウギョウケンキュウショ</t>
          </rPh>
          <phoneticPr fontId="12"/>
        </is>
      </c>
      <c r="B8" s="108">
        <f>'４月'!C29</f>
        <v>0</v>
      </c>
      <c r="C8" s="108">
        <f>'５月'!C26</f>
        <v>0</v>
      </c>
      <c r="D8" s="108">
        <f>'６月'!C27</f>
        <v>0</v>
      </c>
      <c r="E8" s="108">
        <f>'７月'!C30</f>
        <v>0</v>
      </c>
      <c r="F8" s="108">
        <f>'８月'!C30</f>
        <v>0</v>
      </c>
      <c r="G8" s="108">
        <f>'９月'!C30</f>
        <v>0</v>
      </c>
      <c r="H8" s="108">
        <f>'10月'!C30</f>
        <v>0</v>
      </c>
      <c r="I8" s="108">
        <f>'11月'!C30</f>
        <v>0</v>
      </c>
      <c r="J8" s="108">
        <f>'12月'!C30</f>
        <v>0</v>
      </c>
      <c r="K8" s="108">
        <f>'１月'!C30</f>
        <v>0</v>
      </c>
      <c r="L8" s="108">
        <f>'２月'!C30</f>
        <v>0</v>
      </c>
      <c r="M8" s="108">
        <f>'３月'!C30</f>
        <v>0</v>
      </c>
      <c r="N8" s="108">
        <f>SUM(B8:M8)</f>
        <v>0</v>
      </c>
      <c r="O8" s="91"/>
      <c r="P8" s="109" t="inlineStr">
        <is>
          <t>八戸工業研究所</t>
          <rPh sb="0" eb="2">
            <t>ハチノヘ</t>
          </rPh>
          <rPh sb="2" eb="7">
            <t>コウギョウケンキュウショ</t>
          </rPh>
          <phoneticPr fontId="12"/>
        </is>
      </c>
      <c r="Q8" s="108">
        <f>'４月'!J29</f>
        <v>0</v>
      </c>
      <c r="R8" s="108">
        <f>'５月'!J26</f>
        <v>0</v>
      </c>
      <c r="S8" s="108">
        <f>'６月'!J27</f>
        <v>0</v>
      </c>
      <c r="T8" s="108">
        <f>'７月'!J30</f>
        <v>0</v>
      </c>
      <c r="U8" s="108">
        <f>'８月'!J30</f>
        <v>0</v>
      </c>
      <c r="V8" s="108">
        <f>'９月'!J30</f>
        <v>0</v>
      </c>
      <c r="W8" s="108">
        <f>'10月'!J30</f>
        <v>0</v>
      </c>
      <c r="X8" s="108">
        <f>'11月'!J30</f>
        <v>0</v>
      </c>
      <c r="Y8" s="108">
        <f>'12月'!J30</f>
        <v>0</v>
      </c>
      <c r="Z8" s="108">
        <f>'１月'!J30</f>
        <v>0</v>
      </c>
      <c r="AA8" s="108">
        <f>'２月'!J30</f>
        <v>0</v>
      </c>
      <c r="AB8" s="108">
        <f>'３月'!J30</f>
        <v>0</v>
      </c>
      <c r="AC8" s="108">
        <f>SUM(Q8:AB8)</f>
        <v>0</v>
      </c>
    </row>
    <row r="9" spans="1:29" ht="23.75" customHeight="1">
      <c r="A9" s="107" t="inlineStr">
        <is>
          <t>農林部門</t>
          <rPh sb="0" eb="2">
            <t>ノウリン</t>
          </rPh>
          <rPh sb="2" eb="4">
            <t>ブモン</t>
          </rPh>
          <phoneticPr fontId="19"/>
        </is>
      </c>
      <c r="B9" s="105">
        <f t="shared" ref="B9:N9" si="4">SUM(B10:B14)</f>
        <v>0</v>
      </c>
      <c r="C9" s="105">
        <f t="shared" si="4"/>
        <v>0</v>
      </c>
      <c r="D9" s="105">
        <f t="shared" si="4"/>
        <v>0</v>
      </c>
      <c r="E9" s="105">
        <f t="shared" si="4"/>
        <v>0</v>
      </c>
      <c r="F9" s="105">
        <f t="shared" si="4"/>
        <v>0</v>
      </c>
      <c r="G9" s="105">
        <f t="shared" si="4"/>
        <v>0</v>
      </c>
      <c r="H9" s="105">
        <f t="shared" si="4"/>
        <v>0</v>
      </c>
      <c r="I9" s="105">
        <f t="shared" si="4"/>
        <v>0</v>
      </c>
      <c r="J9" s="105">
        <f t="shared" si="4"/>
        <v>0</v>
      </c>
      <c r="K9" s="105">
        <f t="shared" si="4"/>
        <v>0</v>
      </c>
      <c r="L9" s="105">
        <f t="shared" si="4"/>
        <v>0</v>
      </c>
      <c r="M9" s="105">
        <f t="shared" si="4"/>
        <v>0</v>
      </c>
      <c r="N9" s="105">
        <f t="shared" si="4"/>
        <v>0</v>
      </c>
      <c r="O9" s="91"/>
      <c r="P9" s="106" t="inlineStr">
        <is>
          <t>農林部門</t>
          <rPh sb="0" eb="2">
            <t>ノウリン</t>
          </rPh>
          <rPh sb="2" eb="4">
            <t>ブモン</t>
          </rPh>
          <phoneticPr fontId="19"/>
        </is>
      </c>
      <c r="Q9" s="105">
        <f t="shared" ref="Q9:AC9" si="5">SUM(Q10:Q14)</f>
        <v>0</v>
      </c>
      <c r="R9" s="105">
        <f t="shared" si="5"/>
        <v>0</v>
      </c>
      <c r="S9" s="105">
        <f t="shared" si="5"/>
        <v>0</v>
      </c>
      <c r="T9" s="105">
        <f t="shared" si="5"/>
        <v>0</v>
      </c>
      <c r="U9" s="105">
        <f t="shared" si="5"/>
        <v>0</v>
      </c>
      <c r="V9" s="105">
        <f t="shared" si="5"/>
        <v>0</v>
      </c>
      <c r="W9" s="105">
        <f t="shared" si="5"/>
        <v>0</v>
      </c>
      <c r="X9" s="105">
        <f t="shared" si="5"/>
        <v>0</v>
      </c>
      <c r="Y9" s="105">
        <f t="shared" si="5"/>
        <v>0</v>
      </c>
      <c r="Z9" s="105">
        <f t="shared" si="5"/>
        <v>0</v>
      </c>
      <c r="AA9" s="105">
        <f t="shared" si="5"/>
        <v>0</v>
      </c>
      <c r="AB9" s="105">
        <f t="shared" si="5"/>
        <v>0</v>
      </c>
      <c r="AC9" s="105">
        <f t="shared" si="5"/>
        <v>0</v>
      </c>
    </row>
    <row r="10" spans="1:29" ht="23.75" customHeight="1">
      <c r="A10" s="104" t="inlineStr">
        <is>
          <t>農林総合研究所</t>
          <rPh sb="0" eb="2">
            <t>ノウリン</t>
          </rPh>
          <rPh sb="2" eb="4">
            <t>ソウゴウ</t>
          </rPh>
          <rPh sb="4" eb="7">
            <t>ケンキュウジョ</t>
          </rPh>
          <phoneticPr fontId="12"/>
        </is>
      </c>
      <c r="B10" s="102">
        <f>'４月'!C30</f>
        <v>0</v>
      </c>
      <c r="C10" s="102">
        <f>'５月'!C27</f>
        <v>0</v>
      </c>
      <c r="D10" s="102">
        <f>'６月'!C28</f>
        <v>0</v>
      </c>
      <c r="E10" s="102">
        <f>'７月'!C31</f>
        <v>0</v>
      </c>
      <c r="F10" s="102">
        <f>'８月'!C31</f>
        <v>0</v>
      </c>
      <c r="G10" s="102">
        <f>'９月'!C31</f>
        <v>0</v>
      </c>
      <c r="H10" s="102">
        <f>'10月'!C31</f>
        <v>0</v>
      </c>
      <c r="I10" s="102">
        <f>'11月'!C31</f>
        <v>0</v>
      </c>
      <c r="J10" s="102">
        <f>'12月'!C31</f>
        <v>0</v>
      </c>
      <c r="K10" s="102">
        <f>'１月'!C31</f>
        <v>0</v>
      </c>
      <c r="L10" s="102">
        <f>'２月'!C31</f>
        <v>0</v>
      </c>
      <c r="M10" s="102">
        <f>'３月'!C31</f>
        <v>0</v>
      </c>
      <c r="N10" s="102">
        <f>SUM(B10:M10)</f>
        <v>0</v>
      </c>
      <c r="O10" s="91"/>
      <c r="P10" s="103" t="inlineStr">
        <is>
          <t>農林総合研究所</t>
          <rPh sb="0" eb="2">
            <t>ノウリン</t>
          </rPh>
          <rPh sb="2" eb="4">
            <t>ソウゴウ</t>
          </rPh>
          <rPh sb="4" eb="7">
            <t>ケンキュウジョ</t>
          </rPh>
          <phoneticPr fontId="12"/>
        </is>
      </c>
      <c r="Q10" s="102">
        <f>'４月'!J30</f>
        <v>0</v>
      </c>
      <c r="R10" s="102">
        <f>'５月'!J27</f>
        <v>0</v>
      </c>
      <c r="S10" s="102">
        <f>'６月'!J28</f>
        <v>0</v>
      </c>
      <c r="T10" s="102">
        <f>'７月'!J31</f>
        <v>0</v>
      </c>
      <c r="U10" s="102">
        <f>'８月'!J31</f>
        <v>0</v>
      </c>
      <c r="V10" s="102">
        <f>'９月'!J31</f>
        <v>0</v>
      </c>
      <c r="W10" s="102">
        <f>'10月'!J31</f>
        <v>0</v>
      </c>
      <c r="X10" s="102">
        <f>'11月'!J31</f>
        <v>0</v>
      </c>
      <c r="Y10" s="102">
        <f>'12月'!J31</f>
        <v>0</v>
      </c>
      <c r="Z10" s="102">
        <f>'１月'!J31</f>
        <v>0</v>
      </c>
      <c r="AA10" s="102">
        <f>'２月'!J31</f>
        <v>0</v>
      </c>
      <c r="AB10" s="102">
        <f>'３月'!J31</f>
        <v>0</v>
      </c>
      <c r="AC10" s="102">
        <f>SUM(Q10:AB10)</f>
        <v>0</v>
      </c>
    </row>
    <row r="11" spans="1:29" ht="23.75" customHeight="1">
      <c r="A11" s="104" t="inlineStr">
        <is>
          <t>野菜研究所</t>
          <rPh sb="0" eb="2">
            <t>ヤサイ</t>
          </rPh>
          <rPh sb="2" eb="5">
            <t>ケンキュウショ</t>
          </rPh>
          <phoneticPr fontId="12"/>
        </is>
      </c>
      <c r="B11" s="102">
        <f>'４月'!C31</f>
        <v>0</v>
      </c>
      <c r="C11" s="102">
        <f>'５月'!C28</f>
        <v>0</v>
      </c>
      <c r="D11" s="102">
        <f>'６月'!C29</f>
        <v>0</v>
      </c>
      <c r="E11" s="102">
        <f>'７月'!C32</f>
        <v>0</v>
      </c>
      <c r="F11" s="102">
        <f>'８月'!C32</f>
        <v>0</v>
      </c>
      <c r="G11" s="102">
        <f>'９月'!C32</f>
        <v>0</v>
      </c>
      <c r="H11" s="102">
        <f>'10月'!C32</f>
        <v>0</v>
      </c>
      <c r="I11" s="102">
        <f>'11月'!C32</f>
        <v>0</v>
      </c>
      <c r="J11" s="102">
        <f>'12月'!C32</f>
        <v>0</v>
      </c>
      <c r="K11" s="102">
        <f>'１月'!C32</f>
        <v>0</v>
      </c>
      <c r="L11" s="102">
        <f>'２月'!C32</f>
        <v>0</v>
      </c>
      <c r="M11" s="102">
        <f>'３月'!C32</f>
        <v>0</v>
      </c>
      <c r="N11" s="102">
        <f>SUM(B11:M11)</f>
        <v>0</v>
      </c>
      <c r="O11" s="91"/>
      <c r="P11" s="103" t="inlineStr">
        <is>
          <t>野菜研究所</t>
          <rPh sb="0" eb="2">
            <t>ヤサイ</t>
          </rPh>
          <rPh sb="2" eb="5">
            <t>ケンキュウショ</t>
          </rPh>
          <phoneticPr fontId="12"/>
        </is>
      </c>
      <c r="Q11" s="102">
        <f>'４月'!J31</f>
        <v>0</v>
      </c>
      <c r="R11" s="102">
        <f>'５月'!J28</f>
        <v>0</v>
      </c>
      <c r="S11" s="102">
        <f>'６月'!J29</f>
        <v>0</v>
      </c>
      <c r="T11" s="102">
        <f>'７月'!J32</f>
        <v>0</v>
      </c>
      <c r="U11" s="102">
        <f>'８月'!J32</f>
        <v>0</v>
      </c>
      <c r="V11" s="102">
        <f>'９月'!J32</f>
        <v>0</v>
      </c>
      <c r="W11" s="102">
        <f>'10月'!J32</f>
        <v>0</v>
      </c>
      <c r="X11" s="102">
        <f>'11月'!J32</f>
        <v>0</v>
      </c>
      <c r="Y11" s="102">
        <f>'12月'!J32</f>
        <v>0</v>
      </c>
      <c r="Z11" s="102">
        <f>'１月'!J32</f>
        <v>0</v>
      </c>
      <c r="AA11" s="102">
        <f>'２月'!J32</f>
        <v>0</v>
      </c>
      <c r="AB11" s="102">
        <f>'３月'!J32</f>
        <v>0</v>
      </c>
      <c r="AC11" s="102">
        <f>SUM(Q11:AB11)</f>
        <v>0</v>
      </c>
    </row>
    <row r="12" spans="1:29" ht="23.75" customHeight="1">
      <c r="A12" s="104" t="inlineStr">
        <is>
          <t>りんご研究所</t>
          <rPh sb="3" eb="6">
            <t>ケンキュウショ</t>
          </rPh>
          <phoneticPr fontId="12"/>
        </is>
      </c>
      <c r="B12" s="102">
        <f>'４月'!C32</f>
        <v>0</v>
      </c>
      <c r="C12" s="102">
        <f>'５月'!C29</f>
        <v>0</v>
      </c>
      <c r="D12" s="102">
        <f>'６月'!C30</f>
        <v>0</v>
      </c>
      <c r="E12" s="102">
        <f>'７月'!C33</f>
        <v>0</v>
      </c>
      <c r="F12" s="102">
        <f>'８月'!C33</f>
        <v>0</v>
      </c>
      <c r="G12" s="102">
        <f>'９月'!C33</f>
        <v>0</v>
      </c>
      <c r="H12" s="102">
        <f>'10月'!C33</f>
        <v>0</v>
      </c>
      <c r="I12" s="102">
        <f>'11月'!C33</f>
        <v>0</v>
      </c>
      <c r="J12" s="102">
        <f>'12月'!C33</f>
        <v>0</v>
      </c>
      <c r="K12" s="102">
        <f>'１月'!C33</f>
        <v>0</v>
      </c>
      <c r="L12" s="102">
        <f>'２月'!C33</f>
        <v>0</v>
      </c>
      <c r="M12" s="102">
        <f>'３月'!C33</f>
        <v>0</v>
      </c>
      <c r="N12" s="102">
        <f>SUM(B12:M12)</f>
        <v>0</v>
      </c>
      <c r="O12" s="91"/>
      <c r="P12" s="103" t="inlineStr">
        <is>
          <t>りんご研究所</t>
          <rPh sb="3" eb="6">
            <t>ケンキュウショ</t>
          </rPh>
          <phoneticPr fontId="12"/>
        </is>
      </c>
      <c r="Q12" s="102">
        <f>'４月'!J32</f>
        <v>0</v>
      </c>
      <c r="R12" s="102">
        <f>'５月'!J29</f>
        <v>0</v>
      </c>
      <c r="S12" s="102">
        <f>'６月'!J30</f>
        <v>0</v>
      </c>
      <c r="T12" s="102">
        <f>'７月'!J33</f>
        <v>0</v>
      </c>
      <c r="U12" s="102">
        <f>'８月'!J33</f>
        <v>0</v>
      </c>
      <c r="V12" s="102">
        <f>'９月'!J33</f>
        <v>0</v>
      </c>
      <c r="W12" s="102">
        <f>'10月'!J33</f>
        <v>0</v>
      </c>
      <c r="X12" s="102">
        <f>'11月'!J33</f>
        <v>0</v>
      </c>
      <c r="Y12" s="102">
        <f>'12月'!J33</f>
        <v>0</v>
      </c>
      <c r="Z12" s="102">
        <f>'１月'!J33</f>
        <v>0</v>
      </c>
      <c r="AA12" s="102">
        <f>'２月'!J33</f>
        <v>0</v>
      </c>
      <c r="AB12" s="102">
        <f>'３月'!J33</f>
        <v>0</v>
      </c>
      <c r="AC12" s="102">
        <f>SUM(Q12:AB12)</f>
        <v>0</v>
      </c>
    </row>
    <row r="13" spans="1:29" ht="23.75" customHeight="1">
      <c r="A13" s="104" t="inlineStr">
        <is>
          <t>畜産研究所</t>
          <rPh sb="0" eb="2">
            <t>チクサン</t>
          </rPh>
          <rPh sb="2" eb="5">
            <t>ケンキュウショ</t>
          </rPh>
          <phoneticPr fontId="12"/>
        </is>
      </c>
      <c r="B13" s="102">
        <f>'４月'!C33</f>
        <v>0</v>
      </c>
      <c r="C13" s="102">
        <f>'５月'!C30</f>
        <v>0</v>
      </c>
      <c r="D13" s="102">
        <f>'６月'!C31</f>
        <v>0</v>
      </c>
      <c r="E13" s="102">
        <f>'７月'!C34</f>
        <v>0</v>
      </c>
      <c r="F13" s="102">
        <f>'８月'!C34</f>
        <v>0</v>
      </c>
      <c r="G13" s="102">
        <f>'９月'!C34</f>
        <v>0</v>
      </c>
      <c r="H13" s="102">
        <f>'10月'!C34</f>
        <v>0</v>
      </c>
      <c r="I13" s="102">
        <f>'11月'!C34</f>
        <v>0</v>
      </c>
      <c r="J13" s="102">
        <f>'12月'!C34</f>
        <v>0</v>
      </c>
      <c r="K13" s="102">
        <f>'１月'!C34</f>
        <v>0</v>
      </c>
      <c r="L13" s="102">
        <f>'２月'!C34</f>
        <v>0</v>
      </c>
      <c r="M13" s="102">
        <f>'３月'!C34</f>
        <v>0</v>
      </c>
      <c r="N13" s="102">
        <f>SUM(B13:M13)</f>
        <v>0</v>
      </c>
      <c r="O13" s="91"/>
      <c r="P13" s="103" t="inlineStr">
        <is>
          <t>畜産研究所</t>
          <rPh sb="0" eb="2">
            <t>チクサン</t>
          </rPh>
          <rPh sb="2" eb="5">
            <t>ケンキュウショ</t>
          </rPh>
          <phoneticPr fontId="12"/>
        </is>
      </c>
      <c r="Q13" s="102">
        <f>'４月'!J33</f>
        <v>0</v>
      </c>
      <c r="R13" s="102">
        <f>'５月'!J30</f>
        <v>0</v>
      </c>
      <c r="S13" s="102">
        <f>'６月'!J31</f>
        <v>0</v>
      </c>
      <c r="T13" s="102">
        <f>'７月'!J34</f>
        <v>0</v>
      </c>
      <c r="U13" s="102">
        <f>'８月'!J34</f>
        <v>0</v>
      </c>
      <c r="V13" s="102">
        <f>'９月'!J34</f>
        <v>0</v>
      </c>
      <c r="W13" s="102">
        <f>'10月'!J34</f>
        <v>0</v>
      </c>
      <c r="X13" s="102">
        <f>'11月'!J34</f>
        <v>0</v>
      </c>
      <c r="Y13" s="102">
        <f>'12月'!J34</f>
        <v>0</v>
      </c>
      <c r="Z13" s="102">
        <f>'１月'!J34</f>
        <v>0</v>
      </c>
      <c r="AA13" s="102">
        <f>'２月'!J34</f>
        <v>0</v>
      </c>
      <c r="AB13" s="102">
        <f>'３月'!J34</f>
        <v>0</v>
      </c>
      <c r="AC13" s="102">
        <f>SUM(Q13:AB13)</f>
        <v>0</v>
      </c>
    </row>
    <row r="14" spans="1:29" ht="23.75" customHeight="1">
      <c r="A14" s="104" t="inlineStr">
        <is>
          <t>林業研究所</t>
          <rPh sb="0" eb="2">
            <t>リンギョウ</t>
          </rPh>
          <rPh sb="2" eb="5">
            <t>ケンキュウショ</t>
          </rPh>
          <phoneticPr fontId="12"/>
        </is>
      </c>
      <c r="B14" s="102">
        <f>'４月'!C34</f>
        <v>0</v>
      </c>
      <c r="C14" s="102">
        <f>'５月'!C31</f>
        <v>0</v>
      </c>
      <c r="D14" s="102">
        <f>'６月'!C32</f>
        <v>0</v>
      </c>
      <c r="E14" s="102">
        <f>'７月'!C35</f>
        <v>0</v>
      </c>
      <c r="F14" s="102">
        <f>'８月'!C35</f>
        <v>0</v>
      </c>
      <c r="G14" s="102">
        <f>'９月'!C35</f>
        <v>0</v>
      </c>
      <c r="H14" s="102">
        <f>'10月'!C35</f>
        <v>0</v>
      </c>
      <c r="I14" s="102">
        <f>'11月'!C35</f>
        <v>0</v>
      </c>
      <c r="J14" s="102">
        <f>'12月'!C35</f>
        <v>0</v>
      </c>
      <c r="K14" s="102">
        <f>'１月'!C35</f>
        <v>0</v>
      </c>
      <c r="L14" s="102">
        <f>'２月'!C35</f>
        <v>0</v>
      </c>
      <c r="M14" s="102">
        <f>'３月'!C35</f>
        <v>0</v>
      </c>
      <c r="N14" s="102">
        <f>SUM(B14:M14)</f>
        <v>0</v>
      </c>
      <c r="O14" s="91"/>
      <c r="P14" s="103" t="inlineStr">
        <is>
          <t>林業研究所</t>
          <rPh sb="0" eb="2">
            <t>リンギョウ</t>
          </rPh>
          <rPh sb="2" eb="5">
            <t>ケンキュウショ</t>
          </rPh>
          <phoneticPr fontId="12"/>
        </is>
      </c>
      <c r="Q14" s="102">
        <f>'４月'!J34</f>
        <v>0</v>
      </c>
      <c r="R14" s="102">
        <f>'５月'!J31</f>
        <v>0</v>
      </c>
      <c r="S14" s="102">
        <f>'６月'!J32</f>
        <v>0</v>
      </c>
      <c r="T14" s="102">
        <f>'７月'!J35</f>
        <v>0</v>
      </c>
      <c r="U14" s="102">
        <f>'８月'!J35</f>
        <v>0</v>
      </c>
      <c r="V14" s="102">
        <f>'９月'!J35</f>
        <v>0</v>
      </c>
      <c r="W14" s="102">
        <f>'10月'!J35</f>
        <v>0</v>
      </c>
      <c r="X14" s="102">
        <f>'11月'!J35</f>
        <v>0</v>
      </c>
      <c r="Y14" s="102">
        <f>'12月'!J35</f>
        <v>0</v>
      </c>
      <c r="Z14" s="102">
        <f>'１月'!J35</f>
        <v>0</v>
      </c>
      <c r="AA14" s="102">
        <f>'２月'!J35</f>
        <v>0</v>
      </c>
      <c r="AB14" s="102">
        <f>'３月'!J35</f>
        <v>0</v>
      </c>
      <c r="AC14" s="102">
        <f>SUM(Q14:AB14)</f>
        <v>0</v>
      </c>
    </row>
    <row r="15" spans="1:29" ht="23.75" customHeight="1">
      <c r="A15" s="101" t="inlineStr">
        <is>
          <t>水産部門</t>
          <rPh sb="0" eb="2">
            <t>スイサン</t>
          </rPh>
          <rPh sb="2" eb="4">
            <t>ブモン</t>
          </rPh>
          <phoneticPr fontId="19"/>
        </is>
      </c>
      <c r="B15" s="99">
        <f t="shared" ref="B15:N15" si="6">SUM(B16:B17)</f>
        <v>0</v>
      </c>
      <c r="C15" s="99">
        <f t="shared" si="6"/>
        <v>0</v>
      </c>
      <c r="D15" s="99">
        <f t="shared" si="6"/>
        <v>0</v>
      </c>
      <c r="E15" s="99">
        <f t="shared" si="6"/>
        <v>0</v>
      </c>
      <c r="F15" s="99">
        <f t="shared" si="6"/>
        <v>0</v>
      </c>
      <c r="G15" s="99">
        <f t="shared" si="6"/>
        <v>0</v>
      </c>
      <c r="H15" s="99">
        <f t="shared" si="6"/>
        <v>0</v>
      </c>
      <c r="I15" s="99">
        <f t="shared" si="6"/>
        <v>0</v>
      </c>
      <c r="J15" s="99">
        <f t="shared" si="6"/>
        <v>0</v>
      </c>
      <c r="K15" s="99">
        <f t="shared" si="6"/>
        <v>0</v>
      </c>
      <c r="L15" s="99">
        <f t="shared" si="6"/>
        <v>0</v>
      </c>
      <c r="M15" s="99">
        <f t="shared" si="6"/>
        <v>0</v>
      </c>
      <c r="N15" s="99">
        <f t="shared" si="6"/>
        <v>0</v>
      </c>
      <c r="O15" s="91"/>
      <c r="P15" s="100" t="inlineStr">
        <is>
          <t>水産部門</t>
          <rPh sb="0" eb="2">
            <t>スイサン</t>
          </rPh>
          <rPh sb="2" eb="4">
            <t>ブモン</t>
          </rPh>
          <phoneticPr fontId="19"/>
        </is>
      </c>
      <c r="Q15" s="99">
        <f t="shared" ref="Q15:AC15" si="7">SUM(Q16:Q17)</f>
        <v>0</v>
      </c>
      <c r="R15" s="99">
        <f t="shared" si="7"/>
        <v>0</v>
      </c>
      <c r="S15" s="99">
        <f t="shared" si="7"/>
        <v>0</v>
      </c>
      <c r="T15" s="99">
        <f t="shared" si="7"/>
        <v>0</v>
      </c>
      <c r="U15" s="99">
        <f t="shared" si="7"/>
        <v>0</v>
      </c>
      <c r="V15" s="99">
        <f t="shared" si="7"/>
        <v>0</v>
      </c>
      <c r="W15" s="99">
        <f t="shared" si="7"/>
        <v>0</v>
      </c>
      <c r="X15" s="99">
        <f t="shared" si="7"/>
        <v>0</v>
      </c>
      <c r="Y15" s="99">
        <f t="shared" si="7"/>
        <v>0</v>
      </c>
      <c r="Z15" s="99">
        <f t="shared" si="7"/>
        <v>0</v>
      </c>
      <c r="AA15" s="99">
        <f t="shared" si="7"/>
        <v>0</v>
      </c>
      <c r="AB15" s="99">
        <f t="shared" si="7"/>
        <v>0</v>
      </c>
      <c r="AC15" s="99">
        <f t="shared" si="7"/>
        <v>0</v>
      </c>
    </row>
    <row r="16" spans="1:29" ht="23.75" customHeight="1">
      <c r="A16" s="98" t="inlineStr">
        <is>
          <t>水産総合研究所</t>
          <rPh sb="0" eb="2">
            <t>スイサン</t>
          </rPh>
          <rPh sb="2" eb="4">
            <t>ソウゴウ</t>
          </rPh>
          <rPh sb="4" eb="7">
            <t>ケンキュウショ</t>
          </rPh>
          <phoneticPr fontId="12"/>
        </is>
      </c>
      <c r="B16" s="96">
        <f>'４月'!C35</f>
        <v>0</v>
      </c>
      <c r="C16" s="96">
        <f>'５月'!C32</f>
        <v>0</v>
      </c>
      <c r="D16" s="96">
        <f>'６月'!C33</f>
        <v>0</v>
      </c>
      <c r="E16" s="96">
        <f>'７月'!C36</f>
        <v>0</v>
      </c>
      <c r="F16" s="96">
        <f>'８月'!C36</f>
        <v>0</v>
      </c>
      <c r="G16" s="96">
        <f>'９月'!C36</f>
        <v>0</v>
      </c>
      <c r="H16" s="96">
        <f>'10月'!C36</f>
        <v>0</v>
      </c>
      <c r="I16" s="96">
        <f>'11月'!C36</f>
        <v>0</v>
      </c>
      <c r="J16" s="96">
        <f>'12月'!C36</f>
        <v>0</v>
      </c>
      <c r="K16" s="96">
        <f>'１月'!C36</f>
        <v>0</v>
      </c>
      <c r="L16" s="96">
        <f>'２月'!C36</f>
        <v>0</v>
      </c>
      <c r="M16" s="96">
        <f>'３月'!C36</f>
        <v>0</v>
      </c>
      <c r="N16" s="96">
        <f>SUM(B16:M16)</f>
        <v>0</v>
      </c>
      <c r="O16" s="91"/>
      <c r="P16" s="97" t="inlineStr">
        <is>
          <t>水産総合研究所</t>
          <rPh sb="0" eb="2">
            <t>スイサン</t>
          </rPh>
          <rPh sb="2" eb="4">
            <t>ソウゴウ</t>
          </rPh>
          <rPh sb="4" eb="7">
            <t>ケンキュウショ</t>
          </rPh>
          <phoneticPr fontId="12"/>
        </is>
      </c>
      <c r="Q16" s="96">
        <f>'４月'!J35</f>
        <v>0</v>
      </c>
      <c r="R16" s="96">
        <f>'５月'!J32</f>
        <v>0</v>
      </c>
      <c r="S16" s="96">
        <f>'６月'!J33</f>
        <v>0</v>
      </c>
      <c r="T16" s="96">
        <f>'７月'!J36</f>
        <v>0</v>
      </c>
      <c r="U16" s="96">
        <f>'８月'!J36</f>
        <v>0</v>
      </c>
      <c r="V16" s="96">
        <f>'９月'!J36</f>
        <v>0</v>
      </c>
      <c r="W16" s="96">
        <f>'10月'!J36</f>
        <v>0</v>
      </c>
      <c r="X16" s="96">
        <f>'11月'!J36</f>
        <v>0</v>
      </c>
      <c r="Y16" s="96">
        <f>'12月'!J36</f>
        <v>0</v>
      </c>
      <c r="Z16" s="96">
        <f>'１月'!J36</f>
        <v>0</v>
      </c>
      <c r="AA16" s="96">
        <f>'２月'!J36</f>
        <v>0</v>
      </c>
      <c r="AB16" s="96">
        <f>'３月'!J36</f>
        <v>0</v>
      </c>
      <c r="AC16" s="96">
        <f>SUM(Q16:AB16)</f>
        <v>0</v>
      </c>
    </row>
    <row r="17" spans="1:29" ht="23.75" customHeight="1">
      <c r="A17" s="98" t="inlineStr">
        <is>
          <t>内水面研究所</t>
          <rPh sb="0" eb="1">
            <t>ナイ</t>
          </rPh>
          <rPh sb="1" eb="3">
            <t>スイメン</t>
          </rPh>
          <rPh sb="3" eb="6">
            <t>ケンキュウショ</t>
          </rPh>
          <phoneticPr fontId="12"/>
        </is>
      </c>
      <c r="B17" s="96">
        <f>'４月'!C36</f>
        <v>0</v>
      </c>
      <c r="C17" s="96">
        <f>'５月'!C33</f>
        <v>0</v>
      </c>
      <c r="D17" s="96">
        <f>'６月'!C34</f>
        <v>0</v>
      </c>
      <c r="E17" s="96">
        <f>'７月'!C37</f>
        <v>0</v>
      </c>
      <c r="F17" s="96">
        <f>'８月'!C37</f>
        <v>0</v>
      </c>
      <c r="G17" s="96">
        <f>'９月'!C37</f>
        <v>0</v>
      </c>
      <c r="H17" s="96">
        <f>'10月'!C37</f>
        <v>0</v>
      </c>
      <c r="I17" s="96">
        <f>'11月'!C37</f>
        <v>0</v>
      </c>
      <c r="J17" s="96">
        <f>'12月'!C37</f>
        <v>0</v>
      </c>
      <c r="K17" s="96">
        <f>'１月'!C37</f>
        <v>0</v>
      </c>
      <c r="L17" s="96">
        <f>'２月'!C37</f>
        <v>0</v>
      </c>
      <c r="M17" s="96">
        <f>'３月'!C37</f>
        <v>0</v>
      </c>
      <c r="N17" s="96">
        <f>SUM(B17:M17)</f>
        <v>0</v>
      </c>
      <c r="O17" s="91"/>
      <c r="P17" s="97" t="inlineStr">
        <is>
          <t>内水面研究所</t>
          <rPh sb="0" eb="1">
            <t>ナイ</t>
          </rPh>
          <rPh sb="1" eb="3">
            <t>スイメン</t>
          </rPh>
          <rPh sb="3" eb="6">
            <t>ケンキュウショ</t>
          </rPh>
          <phoneticPr fontId="12"/>
        </is>
      </c>
      <c r="Q17" s="96">
        <f>'４月'!J36</f>
        <v>0</v>
      </c>
      <c r="R17" s="96">
        <f>'５月'!J33</f>
        <v>0</v>
      </c>
      <c r="S17" s="96">
        <f>'６月'!J34</f>
        <v>0</v>
      </c>
      <c r="T17" s="96">
        <f>'７月'!J37</f>
        <v>0</v>
      </c>
      <c r="U17" s="96">
        <f>'８月'!J37</f>
        <v>0</v>
      </c>
      <c r="V17" s="96">
        <f>'９月'!J37</f>
        <v>0</v>
      </c>
      <c r="W17" s="96">
        <f>'10月'!J37</f>
        <v>0</v>
      </c>
      <c r="X17" s="96">
        <f>'11月'!J37</f>
        <v>0</v>
      </c>
      <c r="Y17" s="96">
        <f>'12月'!J37</f>
        <v>0</v>
      </c>
      <c r="Z17" s="96">
        <f>'１月'!J37</f>
        <v>0</v>
      </c>
      <c r="AA17" s="96">
        <f>'２月'!J37</f>
        <v>0</v>
      </c>
      <c r="AB17" s="96">
        <f>'３月'!J37</f>
        <v>0</v>
      </c>
      <c r="AC17" s="96">
        <f>SUM(Q17:AB17)</f>
        <v>0</v>
      </c>
    </row>
    <row r="18" spans="1:29" ht="23.75" customHeight="1">
      <c r="A18" s="95" t="inlineStr">
        <is>
          <t>食品加工部門</t>
          <rPh sb="0" eb="2">
            <t>ショクヒン</t>
          </rPh>
          <rPh sb="2" eb="4">
            <t>カコウ</t>
          </rPh>
          <rPh sb="4" eb="6">
            <t>ブモン</t>
          </rPh>
          <phoneticPr fontId="19"/>
        </is>
      </c>
      <c r="B18" s="93">
        <f t="shared" ref="B18:N18" si="8">SUM(B19:B21)</f>
        <v>0</v>
      </c>
      <c r="C18" s="93">
        <f t="shared" si="8"/>
        <v>0</v>
      </c>
      <c r="D18" s="93">
        <f t="shared" si="8"/>
        <v>0</v>
      </c>
      <c r="E18" s="93">
        <f t="shared" si="8"/>
        <v>0</v>
      </c>
      <c r="F18" s="93">
        <f t="shared" si="8"/>
        <v>0</v>
      </c>
      <c r="G18" s="93">
        <f t="shared" si="8"/>
        <v>8</v>
      </c>
      <c r="H18" s="93">
        <f t="shared" si="8"/>
        <v>0</v>
      </c>
      <c r="I18" s="93">
        <f t="shared" si="8"/>
        <v>0</v>
      </c>
      <c r="J18" s="93">
        <f t="shared" si="8"/>
        <v>0</v>
      </c>
      <c r="K18" s="93">
        <f t="shared" si="8"/>
        <v>0</v>
      </c>
      <c r="L18" s="93">
        <f t="shared" si="8"/>
        <v>0</v>
      </c>
      <c r="M18" s="93">
        <f t="shared" si="8"/>
        <v>0</v>
      </c>
      <c r="N18" s="93">
        <f t="shared" si="8"/>
        <v>8</v>
      </c>
      <c r="O18" s="91"/>
      <c r="P18" s="94" t="inlineStr">
        <is>
          <t>食品加工部門</t>
          <rPh sb="0" eb="2">
            <t>ショクヒン</t>
          </rPh>
          <rPh sb="2" eb="4">
            <t>カコウ</t>
          </rPh>
          <rPh sb="4" eb="6">
            <t>ブモン</t>
          </rPh>
          <phoneticPr fontId="19"/>
        </is>
      </c>
      <c r="Q18" s="93">
        <f t="shared" ref="Q18:AC18" si="9">SUM(Q19:Q21)</f>
        <v>0</v>
      </c>
      <c r="R18" s="93">
        <f t="shared" si="9"/>
        <v>0</v>
      </c>
      <c r="S18" s="93">
        <f t="shared" si="9"/>
        <v>0</v>
      </c>
      <c r="T18" s="93">
        <f t="shared" si="9"/>
        <v>0</v>
      </c>
      <c r="U18" s="93">
        <f t="shared" si="9"/>
        <v>0</v>
      </c>
      <c r="V18" s="93">
        <f t="shared" si="9"/>
        <v>8</v>
      </c>
      <c r="W18" s="93">
        <f t="shared" si="9"/>
        <v>0</v>
      </c>
      <c r="X18" s="93">
        <f t="shared" si="9"/>
        <v>0</v>
      </c>
      <c r="Y18" s="93">
        <f t="shared" si="9"/>
        <v>0</v>
      </c>
      <c r="Z18" s="93">
        <f t="shared" si="9"/>
        <v>0</v>
      </c>
      <c r="AA18" s="93">
        <f t="shared" si="9"/>
        <v>0</v>
      </c>
      <c r="AB18" s="93">
        <f t="shared" si="9"/>
        <v>0</v>
      </c>
      <c r="AC18" s="93">
        <f t="shared" si="9"/>
        <v>8</v>
      </c>
    </row>
    <row r="19" spans="1:29" ht="23.75" customHeight="1">
      <c r="A19" s="92" t="inlineStr">
        <is>
          <t>食品総合研究所</t>
          <rPh sb="0" eb="2">
            <t>ショクヒン</t>
          </rPh>
          <rPh sb="2" eb="4">
            <t>ソウゴウ</t>
          </rPh>
          <rPh sb="4" eb="7">
            <t>ケンキュウショ</t>
          </rPh>
          <phoneticPr fontId="12"/>
        </is>
      </c>
      <c r="B19" s="89">
        <f>'４月'!C37</f>
        <v>0</v>
      </c>
      <c r="C19" s="89">
        <f>'５月'!C34</f>
        <v>0</v>
      </c>
      <c r="D19" s="89">
        <f>'６月'!C35</f>
        <v>0</v>
      </c>
      <c r="E19" s="89">
        <f>'７月'!C38</f>
        <v>0</v>
      </c>
      <c r="F19" s="89">
        <f>'８月'!C38</f>
        <v>0</v>
      </c>
      <c r="G19" s="89">
        <f>'９月'!C38</f>
        <v>0</v>
      </c>
      <c r="H19" s="89">
        <f>'10月'!C38</f>
        <v>0</v>
      </c>
      <c r="I19" s="89">
        <f>'11月'!C38</f>
        <v>0</v>
      </c>
      <c r="J19" s="89">
        <f>'12月'!C38</f>
        <v>0</v>
      </c>
      <c r="K19" s="89">
        <f>'１月'!C38</f>
        <v>0</v>
      </c>
      <c r="L19" s="89">
        <f>'２月'!C38</f>
        <v>0</v>
      </c>
      <c r="M19" s="89">
        <f>'３月'!C38</f>
        <v>0</v>
      </c>
      <c r="N19" s="89">
        <f>SUM(B19:M19)</f>
        <v>0</v>
      </c>
      <c r="O19" s="91"/>
      <c r="P19" s="90" t="inlineStr">
        <is>
          <t>食品総合研究所</t>
          <rPh sb="0" eb="2">
            <t>ショクヒン</t>
          </rPh>
          <rPh sb="2" eb="4">
            <t>ソウゴウ</t>
          </rPh>
          <rPh sb="4" eb="7">
            <t>ケンキュウショ</t>
          </rPh>
          <phoneticPr fontId="12"/>
        </is>
      </c>
      <c r="Q19" s="89">
        <f>'４月'!J37</f>
        <v>0</v>
      </c>
      <c r="R19" s="89">
        <f>'５月'!J34</f>
        <v>0</v>
      </c>
      <c r="S19" s="89">
        <f>'６月'!J35</f>
        <v>0</v>
      </c>
      <c r="T19" s="89">
        <f>'７月'!J38</f>
        <v>0</v>
      </c>
      <c r="U19" s="89">
        <f>'８月'!J38</f>
        <v>0</v>
      </c>
      <c r="V19" s="89">
        <f>'９月'!J38</f>
        <v>0</v>
      </c>
      <c r="W19" s="89">
        <f>'10月'!J38</f>
        <v>0</v>
      </c>
      <c r="X19" s="89">
        <f>'11月'!J38</f>
        <v>0</v>
      </c>
      <c r="Y19" s="89">
        <f>'12月'!J38</f>
        <v>0</v>
      </c>
      <c r="Z19" s="89">
        <f>'１月'!J38</f>
        <v>0</v>
      </c>
      <c r="AA19" s="89">
        <f>'２月'!J38</f>
        <v>0</v>
      </c>
      <c r="AB19" s="89">
        <f>'３月'!J38</f>
        <v>0</v>
      </c>
      <c r="AC19" s="89">
        <f>SUM(Q19:AB19)</f>
        <v>0</v>
      </c>
    </row>
    <row r="20" spans="1:29" ht="23.75" customHeight="1">
      <c r="A20" s="92" t="inlineStr">
        <is>
          <t>下北ブランド研究所</t>
          <rPh sb="0" eb="2">
            <t>シモキタ</t>
          </rPh>
          <rPh sb="6" eb="9">
            <t>ケンキュウショ</t>
          </rPh>
          <phoneticPr fontId="12"/>
        </is>
      </c>
      <c r="B20" s="89">
        <f>'４月'!C38</f>
        <v>0</v>
      </c>
      <c r="C20" s="89">
        <f>'５月'!C35</f>
        <v>0</v>
      </c>
      <c r="D20" s="89">
        <f>'６月'!C36</f>
        <v>0</v>
      </c>
      <c r="E20" s="89">
        <f>'７月'!C39</f>
        <v>0</v>
      </c>
      <c r="F20" s="89">
        <f>'８月'!C39</f>
        <v>0</v>
      </c>
      <c r="G20" s="89">
        <f>'９月'!C39</f>
        <v>8</v>
      </c>
      <c r="H20" s="89">
        <f>'10月'!C39</f>
        <v>0</v>
      </c>
      <c r="I20" s="89">
        <f>'11月'!C39</f>
        <v>0</v>
      </c>
      <c r="J20" s="89">
        <f>'12月'!C39</f>
        <v>0</v>
      </c>
      <c r="K20" s="89">
        <f>'１月'!C39</f>
        <v>0</v>
      </c>
      <c r="L20" s="89">
        <f>'２月'!C39</f>
        <v>0</v>
      </c>
      <c r="M20" s="89">
        <f>'３月'!C39</f>
        <v>0</v>
      </c>
      <c r="N20" s="89">
        <f>SUM(B20:M20)</f>
        <v>8</v>
      </c>
      <c r="O20" s="91"/>
      <c r="P20" s="90" t="inlineStr">
        <is>
          <t>下北ブランド研究所</t>
          <rPh sb="0" eb="2">
            <t>シモキタ</t>
          </rPh>
          <rPh sb="6" eb="9">
            <t>ケンキュウショ</t>
          </rPh>
          <phoneticPr fontId="12"/>
        </is>
      </c>
      <c r="Q20" s="89">
        <f>'４月'!J38</f>
        <v>0</v>
      </c>
      <c r="R20" s="89">
        <f>'５月'!J35</f>
        <v>0</v>
      </c>
      <c r="S20" s="89">
        <f>'６月'!J36</f>
        <v>0</v>
      </c>
      <c r="T20" s="89">
        <f>'７月'!J39</f>
        <v>0</v>
      </c>
      <c r="U20" s="89">
        <f>'８月'!J39</f>
        <v>0</v>
      </c>
      <c r="V20" s="89">
        <f>'９月'!J39</f>
        <v>8</v>
      </c>
      <c r="W20" s="89">
        <f>'10月'!J39</f>
        <v>0</v>
      </c>
      <c r="X20" s="89">
        <f>'11月'!J39</f>
        <v>0</v>
      </c>
      <c r="Y20" s="89">
        <f>'12月'!J39</f>
        <v>0</v>
      </c>
      <c r="Z20" s="89">
        <f>'１月'!J39</f>
        <v>0</v>
      </c>
      <c r="AA20" s="89">
        <f>'２月'!J39</f>
        <v>0</v>
      </c>
      <c r="AB20" s="89">
        <f>'３月'!J39</f>
        <v>0</v>
      </c>
      <c r="AC20" s="89">
        <f>SUM(Q20:AB20)</f>
        <v>8</v>
      </c>
    </row>
    <row r="21" spans="1:29" ht="23.75" customHeight="1">
      <c r="A21" s="92" t="inlineStr">
        <is>
          <t>農産物加工研究所</t>
          <rPh sb="0" eb="8">
            <t>ノウサンブツカコウケンキュウショ</t>
          </rPh>
          <phoneticPr fontId="12"/>
        </is>
      </c>
      <c r="B21" s="89">
        <f>'４月'!C39</f>
        <v>0</v>
      </c>
      <c r="C21" s="89">
        <f>'５月'!C36</f>
        <v>0</v>
      </c>
      <c r="D21" s="89">
        <f>'６月'!C37</f>
        <v>0</v>
      </c>
      <c r="E21" s="89">
        <f>'７月'!C40</f>
        <v>0</v>
      </c>
      <c r="F21" s="89">
        <f>'８月'!C40</f>
        <v>0</v>
      </c>
      <c r="G21" s="89">
        <f>'９月'!C40</f>
        <v>0</v>
      </c>
      <c r="H21" s="89">
        <f>'10月'!C40</f>
        <v>0</v>
      </c>
      <c r="I21" s="89">
        <f>'11月'!C40</f>
        <v>0</v>
      </c>
      <c r="J21" s="89">
        <f>'12月'!C40</f>
        <v>0</v>
      </c>
      <c r="K21" s="89">
        <f>'１月'!C40</f>
        <v>0</v>
      </c>
      <c r="L21" s="89">
        <f>'２月'!C40</f>
        <v>0</v>
      </c>
      <c r="M21" s="89">
        <f>'３月'!C40</f>
        <v>0</v>
      </c>
      <c r="N21" s="89">
        <f>SUM(B21:M21)</f>
        <v>0</v>
      </c>
      <c r="O21" s="91"/>
      <c r="P21" s="90" t="inlineStr">
        <is>
          <t>農産物加工研究所</t>
          <rPh sb="0" eb="8">
            <t>ノウサンブツカコウケンキュウショ</t>
          </rPh>
          <phoneticPr fontId="12"/>
        </is>
      </c>
      <c r="Q21" s="89">
        <f>'４月'!J39</f>
        <v>0</v>
      </c>
      <c r="R21" s="89">
        <f>'５月'!J36</f>
        <v>0</v>
      </c>
      <c r="S21" s="89">
        <f>'６月'!J37</f>
        <v>0</v>
      </c>
      <c r="T21" s="89">
        <f>'７月'!J40</f>
        <v>0</v>
      </c>
      <c r="U21" s="89">
        <f>'８月'!J40</f>
        <v>0</v>
      </c>
      <c r="V21" s="89">
        <f>'９月'!J40</f>
        <v>0</v>
      </c>
      <c r="W21" s="89">
        <f>'10月'!J40</f>
        <v>0</v>
      </c>
      <c r="X21" s="89">
        <f>'11月'!J40</f>
        <v>0</v>
      </c>
      <c r="Y21" s="89">
        <f>'12月'!J40</f>
        <v>0</v>
      </c>
      <c r="Z21" s="89">
        <f>'１月'!J40</f>
        <v>0</v>
      </c>
      <c r="AA21" s="89">
        <f>'２月'!J40</f>
        <v>0</v>
      </c>
      <c r="AB21" s="89">
        <f>'３月'!J40</f>
        <v>0</v>
      </c>
      <c r="AC21" s="89">
        <f>SUM(Q21:AB21)</f>
        <v>0</v>
      </c>
    </row>
  </sheetData>
  <mergeCells count="2">
    <mergeCell ref="A1:N1"/>
    <mergeCell ref="P1:AC1"/>
  </mergeCells>
  <phoneticPr fontId="12"/>
  <conditionalFormatting sqref="B4:N21">
    <cfRule type="cellIs" dxfId="1" priority="6" operator="greaterThan">
      <formula>0</formula>
    </cfRule>
  </conditionalFormatting>
  <conditionalFormatting sqref="Q4:AC21">
    <cfRule type="cellIs" dxfId="0" priority="1" operator="greaterThan">
      <formula>0</formula>
    </cfRule>
  </conditionalFormatting>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16</vt:i4>
      </vt:variant>
      <vt:variant>
        <vt:lpstr>名前付き一覧</vt:lpstr>
      </vt:variant>
      <vt:variant>
        <vt:i4>15</vt:i4>
      </vt:variant>
    </vt:vector>
  </HeadingPairs>
  <TitlesOfParts>
    <vt:vector size="31" baseType="lpstr">
      <vt:lpstr>（重要案件）記録票　</vt:lpstr>
      <vt:lpstr>記載例 </vt:lpstr>
      <vt:lpstr>４月</vt:lpstr>
      <vt:lpstr>５月</vt:lpstr>
      <vt:lpstr>６月</vt:lpstr>
      <vt:lpstr>７月</vt:lpstr>
      <vt:lpstr>８月</vt:lpstr>
      <vt:lpstr>９月</vt:lpstr>
      <vt:lpstr>10月</vt:lpstr>
      <vt:lpstr>11月</vt:lpstr>
      <vt:lpstr>12月</vt:lpstr>
      <vt:lpstr>１月</vt:lpstr>
      <vt:lpstr>２月</vt:lpstr>
      <vt:lpstr>３月</vt:lpstr>
      <vt:lpstr>問合せ方法</vt:lpstr>
      <vt:lpstr>月別件数、回数</vt:lpstr>
      <vt:lpstr>'10月'!Print_Area</vt:lpstr>
      <vt:lpstr>'11月'!Print_Area</vt:lpstr>
      <vt:lpstr>'12月'!Print_Area</vt:lpstr>
      <vt:lpstr>'１月'!Print_Area</vt:lpstr>
      <vt:lpstr>'２月'!Print_Area</vt:lpstr>
      <vt:lpstr>'３月'!Print_Area</vt:lpstr>
      <vt:lpstr>'４月'!Print_Area</vt:lpstr>
      <vt:lpstr>'５月'!Print_Area</vt:lpstr>
      <vt:lpstr>'６月'!Print_Area</vt:lpstr>
      <vt:lpstr>'７月'!Print_Area</vt:lpstr>
      <vt:lpstr>'８月'!Print_Area</vt:lpstr>
      <vt:lpstr>'９月'!Print_Area</vt:lpstr>
      <vt:lpstr>'記載例 '!Print_Area</vt:lpstr>
      <vt:lpstr>'月別件数、回数'!Print_Area</vt:lpstr>
      <vt:lpstr>問合せ方法!Print_Area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2025-09-30T08:38:02Z</cp:lastPrinted>
  <dcterms:created xsi:type="dcterms:W3CDTF">2009-04-23T04:17:35Z</dcterms:created>
  <dcterms:modified xsi:type="dcterms:W3CDTF">2026-09-28T03:34:16Z</dcterms:modified>
</cp:coreProperties>
</file>